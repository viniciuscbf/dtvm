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216256ebd44833/Desktop/dtvm/prospecção/abordagem/"/>
    </mc:Choice>
  </mc:AlternateContent>
  <xr:revisionPtr revIDLastSave="0" documentId="11_38CE15F353EA8508DD547713A485AC90F09CEC38" xr6:coauthVersionLast="47" xr6:coauthVersionMax="47" xr10:uidLastSave="{00000000-0000-0000-0000-000000000000}"/>
  <bookViews>
    <workbookView xWindow="16452" yWindow="1440" windowWidth="6168" windowHeight="9552" xr2:uid="{00000000-000D-0000-FFFF-FFFF00000000}"/>
  </bookViews>
  <sheets>
    <sheet name="Consolidado" sheetId="1" r:id="rId1"/>
    <sheet name="Bancos" sheetId="2" r:id="rId2"/>
    <sheet name="Corretoras (CTVM)" sheetId="3" r:id="rId3"/>
    <sheet name="DTVMs não-adm" sheetId="4" r:id="rId4"/>
    <sheet name="Auditores (canal)" sheetId="5" r:id="rId5"/>
    <sheet name="Legenda" sheetId="6" r:id="rId6"/>
  </sheets>
  <definedNames>
    <definedName name="_xlnm._FilterDatabase" localSheetId="4" hidden="1">'Auditores (canal)'!$A$1:$Q$81</definedName>
    <definedName name="_xlnm._FilterDatabase" localSheetId="1" hidden="1">Bancos!$A$1:$AB$7</definedName>
    <definedName name="_xlnm._FilterDatabase" localSheetId="0" hidden="1">Consolidado!$A$1:$AC$44</definedName>
    <definedName name="_xlnm._FilterDatabase" localSheetId="2" hidden="1">'Corretoras (CTVM)'!$A$1:$AB$12</definedName>
    <definedName name="_xlnm._FilterDatabase" localSheetId="3" hidden="1">'DTVMs não-adm'!$A$1:$AB$27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6" l="1"/>
  <c r="C33" i="6"/>
  <c r="C32" i="6"/>
  <c r="C31" i="6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Y27" i="4"/>
  <c r="Y26" i="4"/>
  <c r="Y25" i="4"/>
  <c r="Y24" i="4"/>
  <c r="Y23" i="4"/>
  <c r="Y22" i="4"/>
  <c r="Y21" i="4"/>
  <c r="Y20" i="4"/>
  <c r="Y19" i="4"/>
  <c r="Y18" i="4"/>
  <c r="Y17" i="4"/>
  <c r="Y16" i="4"/>
  <c r="Y15" i="4"/>
  <c r="Y14" i="4"/>
  <c r="Y13" i="4"/>
  <c r="Y12" i="4"/>
  <c r="Y11" i="4"/>
  <c r="Y10" i="4"/>
  <c r="Y9" i="4"/>
  <c r="Y8" i="4"/>
  <c r="Y7" i="4"/>
  <c r="Y6" i="4"/>
  <c r="Y5" i="4"/>
  <c r="Y4" i="4"/>
  <c r="Y3" i="4"/>
  <c r="Y2" i="4"/>
  <c r="Y12" i="3"/>
  <c r="Y11" i="3"/>
  <c r="Y10" i="3"/>
  <c r="Y9" i="3"/>
  <c r="Y8" i="3"/>
  <c r="Y7" i="3"/>
  <c r="Y6" i="3"/>
  <c r="Y5" i="3"/>
  <c r="Y4" i="3"/>
  <c r="Y3" i="3"/>
  <c r="Y2" i="3"/>
  <c r="Y7" i="2"/>
  <c r="Y6" i="2"/>
  <c r="Y5" i="2"/>
  <c r="Y4" i="2"/>
  <c r="Y3" i="2"/>
  <c r="Y2" i="2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<sst xmlns="http://schemas.openxmlformats.org/spreadsheetml/2006/main" count="2059" uniqueCount="579">
  <si>
    <t>Tipo</t>
  </si>
  <si>
    <t>Instituição</t>
  </si>
  <si>
    <t>Segmento BCB</t>
  </si>
  <si>
    <t>UF</t>
  </si>
  <si>
    <t>Município</t>
  </si>
  <si>
    <t>Endereço (carta)</t>
  </si>
  <si>
    <t>Responsável (QSA Receita)</t>
  </si>
  <si>
    <t>Cargo (QSA)</t>
  </si>
  <si>
    <t>Carta</t>
  </si>
  <si>
    <t>Tipo de carta</t>
  </si>
  <si>
    <t>Ativo Total (R$)</t>
  </si>
  <si>
    <t>Já custodia?</t>
  </si>
  <si>
    <t>Início atividade</t>
  </si>
  <si>
    <t>Telefone</t>
  </si>
  <si>
    <t>E-mail</t>
  </si>
  <si>
    <t>E-mail 2 (regulatório)</t>
  </si>
  <si>
    <t>Site</t>
  </si>
  <si>
    <t>Caminho regulatório</t>
  </si>
  <si>
    <t>Template de e-mail</t>
  </si>
  <si>
    <t>Anexos</t>
  </si>
  <si>
    <t>Decisor</t>
  </si>
  <si>
    <t>Cargo</t>
  </si>
  <si>
    <t>E-mail do decisor</t>
  </si>
  <si>
    <t>Status</t>
  </si>
  <si>
    <t>Data 1º contato</t>
  </si>
  <si>
    <t>Follow-up em</t>
  </si>
  <si>
    <t>Resposta</t>
  </si>
  <si>
    <t>Próximo passo</t>
  </si>
  <si>
    <t>Notas</t>
  </si>
  <si>
    <t>Bancos</t>
  </si>
  <si>
    <t>SOCIAL BANK BANCO MÚLTIPLO S/A</t>
  </si>
  <si>
    <t>Banco Múltiplo</t>
  </si>
  <si>
    <t>BA</t>
  </si>
  <si>
    <t>Salvador</t>
  </si>
  <si>
    <t>Avenida Tancredo Neves, 002227 Edif Salvador Prime Torre Mista Sala 805 — Caminho Das Arvores — Salvador/Ba — CEP 41820-021</t>
  </si>
  <si>
    <t>Rodrigo Borges Cunha</t>
  </si>
  <si>
    <t>Presidente</t>
  </si>
  <si>
    <t>SIM</t>
  </si>
  <si>
    <t>Carta_Banco.docx</t>
  </si>
  <si>
    <t>1943</t>
  </si>
  <si>
    <t>71 21041000</t>
  </si>
  <si>
    <t>atendimentosac@socialbank.com.br</t>
  </si>
  <si>
    <t>compliance@socialbank.com.br</t>
  </si>
  <si>
    <t>https://www.socialbank.com.br/</t>
  </si>
  <si>
    <t>Elegível direto às DUAS licenças (adm 60d + custódia 90d) — capital adicional R$ 0</t>
  </si>
  <si>
    <t>A (banco)</t>
  </si>
  <si>
    <t>Tour + OnePager Banco</t>
  </si>
  <si>
    <t>E-mail comercial pesquisado 13/07/2026 (confiança média): Site oficial socialbank.com.br (rodapé/atendimento); nenhum e-mail nominal ou comercial público.</t>
  </si>
  <si>
    <t>BANCO PORTO REAL DE INVESTIMENTOS S.A</t>
  </si>
  <si>
    <t>Banco de Investimento</t>
  </si>
  <si>
    <t>RJ</t>
  </si>
  <si>
    <t>Porto Real</t>
  </si>
  <si>
    <t>Rua Quatro, 670 Sala 03 — Loteamento Imperial Center — Porto Real/Rj — CEP 27570-000</t>
  </si>
  <si>
    <t>Luiz Eduardo Tarquinio Monteiro Da Costa</t>
  </si>
  <si>
    <t>1992</t>
  </si>
  <si>
    <t>24 20320002</t>
  </si>
  <si>
    <t>finanbpr@bpr.com.br</t>
  </si>
  <si>
    <t>BANCO CEDULA S.A.</t>
  </si>
  <si>
    <t>Rio De Janeiro</t>
  </si>
  <si>
    <t>Rua Goncalves Dias, 65 A 67 — Centro — Rio De Janeiro/Rj — CEP 20050-030</t>
  </si>
  <si>
    <t>Aron Nesanelovicz</t>
  </si>
  <si>
    <t>1965</t>
  </si>
  <si>
    <t>21 22215512</t>
  </si>
  <si>
    <t>aron@bancocedula.com.br</t>
  </si>
  <si>
    <t>bancocedula@bancocedula.com.br</t>
  </si>
  <si>
    <t>www.bancocedula.com.br</t>
  </si>
  <si>
    <t>E-mail comercial pesquisado 13/07/2026 (confiança baixa): Inferido do padrão nome@ (ZoomInfo: f***@bancocedula.com.br p/ Franklin); site só publica clienteinternet@/ouvidoria@ — se voltar, usar o genérico atual.</t>
  </si>
  <si>
    <t>BANCO INDUSCRED DE INVESTIMENTO S.A.</t>
  </si>
  <si>
    <t>SP</t>
  </si>
  <si>
    <t>São Paulo</t>
  </si>
  <si>
    <t>Alameda Santos, 1357 Andar Mezanino — Cerqueira Cesar — Sao Paulo/Sp — CEP 01419-908</t>
  </si>
  <si>
    <t>Andre Kissajikian</t>
  </si>
  <si>
    <t>Diretor</t>
  </si>
  <si>
    <t>1941</t>
  </si>
  <si>
    <t>11 31912000</t>
  </si>
  <si>
    <t>contato@bancoinduscred.com.br</t>
  </si>
  <si>
    <t>www.bancoinduscred.com.br</t>
  </si>
  <si>
    <t>BANCO RNX S.A.</t>
  </si>
  <si>
    <t>PR</t>
  </si>
  <si>
    <t>Curitiba</t>
  </si>
  <si>
    <t>Rua Heitor Stockler De Franca, 396 Sala 303 Andar 03 Cond Neo Super Quadra Ed Bloco Neo Super Quadra Tor — Centro Civico — Curitiba/Pr — CEP 80030-030</t>
  </si>
  <si>
    <t>Joao Mauricio Archer Wanderley</t>
  </si>
  <si>
    <t>1987</t>
  </si>
  <si>
    <t>41 30745900</t>
  </si>
  <si>
    <t>bancornx@bancornx.com.br</t>
  </si>
  <si>
    <t>www.bancornx.com.br</t>
  </si>
  <si>
    <t>BANCO VR S.A.</t>
  </si>
  <si>
    <t>Banco (triagem manual)</t>
  </si>
  <si>
    <t>Avenida Dos Bandeirantes 460, 460 — Brooklin Paulista — Sao Paulo/Sp — CEP 04553-900</t>
  </si>
  <si>
    <t>Marcio Del Nero</t>
  </si>
  <si>
    <t>11 41347500</t>
  </si>
  <si>
    <t>marcio.delnero@vr.com.br; sac.bancovr@vr.com.br</t>
  </si>
  <si>
    <t>compliance@bancovr.com.br</t>
  </si>
  <si>
    <t>www.bancovr.com.br</t>
  </si>
  <si>
    <t>E-mail comercial pesquisado 13/07/2026 (confiança baixa): Inferido do padrão first.last@vr.com.br do grupo (RocketReach/LeadIQ; sac.bancovr@ e ouvidoriabancovr@ confirmam o domínio no site oficial). Triagem manual 12/07/2026 — Grupo VR (VR Beneficios). BancoData: ativo R$ 310 mi (dez/2022); consignado privado</t>
  </si>
  <si>
    <t>Corretoras (CTVM)</t>
  </si>
  <si>
    <t>EUROINVEST S.A. CORRETORA DE CÂMBIO, TÍTULOS E VALORES MOBILIÁRIOS</t>
  </si>
  <si>
    <t>Sociedade Corretora de TVM</t>
  </si>
  <si>
    <t>Rua Paraguai, 145 Sala 1006 Edif Etr — Vila Moema — Tubarao/Sc — CEP 88705-876</t>
  </si>
  <si>
    <t>Adriana Maria Batista Coderch</t>
  </si>
  <si>
    <t>Carta_CTVM.docx</t>
  </si>
  <si>
    <t>1989</t>
  </si>
  <si>
    <t>21 22248653</t>
  </si>
  <si>
    <t>administrativo@eurocctvm.com.br</t>
  </si>
  <si>
    <t>euroinvest@grupoeuroinvest.com.br</t>
  </si>
  <si>
    <t>Elegível direto às DUAS licenças — capital adicional R$ 0</t>
  </si>
  <si>
    <t>A2 (corretora)</t>
  </si>
  <si>
    <t>Tour + OnePager CTVM</t>
  </si>
  <si>
    <t>E-mail comercial pesquisado 13/07/2026 (confiança média): ATENÇÃO: o domínio real é eurocctvm.com.br — grupoeuroinvest.com.br está estacionado desde ~2008 e o e-mail do CRM pode nem funcionar; fonte: cadastro Receita/CNPJá + site eurocctvm.com.br.</t>
  </si>
  <si>
    <t>LEVYCAM - CORRETORA DE CAMBIO E VALORES LTDA.</t>
  </si>
  <si>
    <t>Avenida Angelica, 2503 Conj 105 A 108 Cond Ed Higi Offi Tower — Consolacao — Sao Paulo/Sp — CEP 01227-200</t>
  </si>
  <si>
    <t>Joao Carlos Canto Kneese</t>
  </si>
  <si>
    <t>Sócio-Administrador</t>
  </si>
  <si>
    <t>1982</t>
  </si>
  <si>
    <t>11 28139600</t>
  </si>
  <si>
    <t>joao@levycam.com.br; contato@levycam.com.br</t>
  </si>
  <si>
    <t>levycam@levycam.com.br</t>
  </si>
  <si>
    <t>www.levycam.com.br</t>
  </si>
  <si>
    <t>E-mail comercial pesquisado 13/07/2026 (confiança baixa): Inferido do padrão nome@ confirmado por eduardo@levycam.com.br (DPO, página /contato do site); João Kneese é o presidente.</t>
  </si>
  <si>
    <t>AMARIL FRANKLIN CORRETORA DE TÍTULOS E VALORES LTDA</t>
  </si>
  <si>
    <t>MG</t>
  </si>
  <si>
    <t>Belo Horizonte</t>
  </si>
  <si>
    <t>Rua Dos Guajajaras, 581 Andar: 3 E 5; — Centro — Belo Horizonte/Mg — CEP 30180-100</t>
  </si>
  <si>
    <t>Afranio Mourao Franklin</t>
  </si>
  <si>
    <t>1967</t>
  </si>
  <si>
    <t>31 32358100</t>
  </si>
  <si>
    <t>investimentos@amarilfranklin.com.br</t>
  </si>
  <si>
    <t>www.amarilfranklin.com.br</t>
  </si>
  <si>
    <t>BPY CORRETORA DE CÂMBIO, TÍTULOS E VALORES MOBILIÁRIOS S.A.</t>
  </si>
  <si>
    <t>Avenida Queiroz Filho, 1700 Bloco A Conj 305 — Vila Hamburguesa — Sao Paulo/Sp — CEP 05319-000</t>
  </si>
  <si>
    <t>Alexandre Ferrari</t>
  </si>
  <si>
    <t>2017</t>
  </si>
  <si>
    <t>11 29702933</t>
  </si>
  <si>
    <t>contato@bpy.global</t>
  </si>
  <si>
    <t>www.ibcorretora.com.br</t>
  </si>
  <si>
    <t>SENSO CORRETORA DE CAMBIO E VALORES MOBILIARIOS S.A</t>
  </si>
  <si>
    <t>Avenida Ataulfo De Paiva, 135 Sala: 810; — Leblon — Rio De Janeiro/Rj — CEP 22440-032</t>
  </si>
  <si>
    <t>Mario Celso Coutinho De Souza Dias</t>
  </si>
  <si>
    <t>1968</t>
  </si>
  <si>
    <t>21 25055000</t>
  </si>
  <si>
    <t>senso@sensocorretora.com.br</t>
  </si>
  <si>
    <t>www.sensocorretora.com.br</t>
  </si>
  <si>
    <t>SIMPAUL CORRETORA DE CAMBIO E VALORES MOBILIARIOS  S.A.</t>
  </si>
  <si>
    <t>Avenida Carlos Gomes, 300 Andar 7 Sala 8 — Boa Vista — Porto Alegre/Rs — CEP 90480-000</t>
  </si>
  <si>
    <t>Gabriela Do Nascimento Nogueira</t>
  </si>
  <si>
    <t>1993</t>
  </si>
  <si>
    <t>51 33279888</t>
  </si>
  <si>
    <t>joao.silveira@simpaul.com.br; contato@simpaul.com.br</t>
  </si>
  <si>
    <t>controlesinternos@simpaul.com.br</t>
  </si>
  <si>
    <t>www.simpaul.com.br</t>
  </si>
  <si>
    <t>E-mail comercial pesquisado 13/07/2026 (confiança média): CEO João Silveira (ZoomInfo j***@); padrão first.last confirmado por fernando.cruz@simpaul.com.br (cadastro Receita/Econodata).</t>
  </si>
  <si>
    <t>H H PICCHIONI S/A CORRETORA DE CAMBIO E VALORES MOBILIARIOS</t>
  </si>
  <si>
    <t>Avenida Bernardo Monteiro, 1539 — Funcionarios — Belo Horizonte/Mg — CEP 30150-281</t>
  </si>
  <si>
    <t>Heitor Mascarenhas Picchioni</t>
  </si>
  <si>
    <t>31 32387126</t>
  </si>
  <si>
    <t>picchioni@picchioni.com.br</t>
  </si>
  <si>
    <t>www.picchioni.com.br</t>
  </si>
  <si>
    <t>EQI INVESTIMENTOS CORRETORA DE TÍTULOS E VALORES MOBILIÁRIOS S.A.</t>
  </si>
  <si>
    <t>Avenida Brig Faria Lima, 3600 Andar 10 Conj 101 E 102 Parte — Itaim Bibi — Sao Paulo/Sp — CEP 04538-132</t>
  </si>
  <si>
    <t>Juliano Avila Custodio</t>
  </si>
  <si>
    <t>2023</t>
  </si>
  <si>
    <t>47 984490035</t>
  </si>
  <si>
    <t>juliano.custodio@eqi.com.br</t>
  </si>
  <si>
    <t>notificacoes.regulatorio@eqi.com.br</t>
  </si>
  <si>
    <t>E-mail comercial pesquisado 13/07/2026 (confiança média): Padrão first.last@eqi.com.br confirmado por mauricio.daoud@eqi.com.br (diretor, documento regulatório público); Juliano Custodio é o CEO.</t>
  </si>
  <si>
    <t>MONTE BRAVO CORRETORA DE TÍTULOS E VALORES MOBILIÁRIOS S.A.</t>
  </si>
  <si>
    <t>Rua Min Jesuino Cardoso, 454 Andar 9 Sala 91 — Vila Nova Conceicao — Sao Paulo/Sp — CEP 04544-051</t>
  </si>
  <si>
    <t>Caio Beltrao Rizk</t>
  </si>
  <si>
    <t>11 30180960</t>
  </si>
  <si>
    <t>caio.rizk@montebravo.com.br</t>
  </si>
  <si>
    <t>www.montebravo.com.br</t>
  </si>
  <si>
    <t>CODEPE CORRETORA DE VALORES E CÂMBIO S.A.</t>
  </si>
  <si>
    <t>CTVM (triagem manual)</t>
  </si>
  <si>
    <t>Barueri</t>
  </si>
  <si>
    <t>Alameda Madeira, 258 Andar 10 Sala 1001 1002 1005 1006 — Alphaville Centro Industrial E Empresarial/Alphav — Barueri/Sp — CEP 06454-010</t>
  </si>
  <si>
    <t>Fernando Bastos De Aguiar</t>
  </si>
  <si>
    <t>81 21377979</t>
  </si>
  <si>
    <t>fernando@codepe.com.br; renata@codepe.com.br</t>
  </si>
  <si>
    <t>codepe@codepe.com.br</t>
  </si>
  <si>
    <t>www.codepe.com.br</t>
  </si>
  <si>
    <t>E-mail comercial pesquisado 13/07/2026 (confiança alta): VERIFICADO em PDF público da B3 (Administração de Limites) — fernando@ existe; Fernando Bastos de Aguiar é o presidente; renata@ é o fale-conosco do site. Triagem manual 12/07/2026 — Familia Aguiar (independente). Econodata/Serasa: corretora familiar de cambio, Alphaville; porte &lt; R$ 100 mi</t>
  </si>
  <si>
    <t>GURU CORRETORA DE TÍTULOS E VALORES MOBILIÁRIOS LTDA.</t>
  </si>
  <si>
    <t>Avenida Brig Faria Lima, 1685 Conj 3H — Jardim Paulistano — Sao Paulo/Sp — CEP 01452-916</t>
  </si>
  <si>
    <t>Guilherme Marin</t>
  </si>
  <si>
    <t>Administrador</t>
  </si>
  <si>
    <t>11 98144455</t>
  </si>
  <si>
    <t>felipe@guru.com.vc</t>
  </si>
  <si>
    <t>https://www.guructvm.com.br/</t>
  </si>
  <si>
    <t>Triagem manual 12/07/2026 — Fundadores + Turim MFO (independente). Finsiders: fintech com licenca propria 2024, aporte R$ 12 mi; porte &lt; R$ 50 mi</t>
  </si>
  <si>
    <t>DTVMs não-adm</t>
  </si>
  <si>
    <t>EBADIVAL - E. BAGGIO DISTRIBUIDORA DE TÍTULOS E VALORES MOBILIÁRIOS LTDA.</t>
  </si>
  <si>
    <t>Sociedade Distribuidora de TVM</t>
  </si>
  <si>
    <t>Rua Eduardo Sprada, 4150 — Campo Comprido — Curitiba/Pr — CEP 81210-370</t>
  </si>
  <si>
    <t>Evana Baggio Portugal</t>
  </si>
  <si>
    <t>Carta_DTVM.docx</t>
  </si>
  <si>
    <t>1978</t>
  </si>
  <si>
    <t>41 33732020</t>
  </si>
  <si>
    <t>ebadival@ebadival.com.br</t>
  </si>
  <si>
    <t>www.ebadival.com.br</t>
  </si>
  <si>
    <t>Elegível direto às DUAS licenças; NÃO administra fundos (checado no cadastro CVM)</t>
  </si>
  <si>
    <t>A3 (distribuidora) — NDA OBRIGATÓRIO antes do deck</t>
  </si>
  <si>
    <t>FIDUCIAL DISTRIBUIDORA DE TÍTULOS E VALORES MOBILIÁRIOS LTDA.</t>
  </si>
  <si>
    <t>Rua Espirito Santo 616, 616 Andar: 8°; — Centro — Belo Horizonte/Mg — CEP 30160-920</t>
  </si>
  <si>
    <t>Rodrigo Mendes Purri</t>
  </si>
  <si>
    <t>2008</t>
  </si>
  <si>
    <t>31 21057600</t>
  </si>
  <si>
    <t>rodrigo@fiducial.com.br</t>
  </si>
  <si>
    <t>www.fiducial.com.br</t>
  </si>
  <si>
    <t>DEBONI DISTRIBUIDORA DE TITULOS E VALORES MOBILIARIOS LTDA</t>
  </si>
  <si>
    <t>Rua Marechal Deodoro, 261 Loja 6 — Centro — Curitiba/Pr — CEP 80020-320</t>
  </si>
  <si>
    <t>Antonio Deboni Neto</t>
  </si>
  <si>
    <t>1976</t>
  </si>
  <si>
    <t>41 999838800</t>
  </si>
  <si>
    <t>deboni@hotmail.com</t>
  </si>
  <si>
    <t>www.debonicambio.com.br</t>
  </si>
  <si>
    <t>PACIFIC INVEST DISTRIBUIDORA DE TITULOS E VALORES MOBILIARIOS LTDA</t>
  </si>
  <si>
    <t>SC</t>
  </si>
  <si>
    <t>Joaçaba</t>
  </si>
  <si>
    <t>Rua Sete De Setembro, 20 — Centro — Joacaba/Sc — CEP 89600-000</t>
  </si>
  <si>
    <t>Caroline Hack</t>
  </si>
  <si>
    <t>49 35222580</t>
  </si>
  <si>
    <t>pacific@pacificinvest.com.br</t>
  </si>
  <si>
    <t>administrativo@pacificinvest.com.br</t>
  </si>
  <si>
    <t>http://www.pacificinvest.com.br</t>
  </si>
  <si>
    <t>E-mail comercial pesquisado 13/07/2026 (confiança média): Caixa principal da matriz (listagem ABRACAM + guias); nenhum nominal público.</t>
  </si>
  <si>
    <t>MOMENTO DISTRIBUIDORA DE TITULOS E VALORES MOBILIARIOS LTDA</t>
  </si>
  <si>
    <t>Rua Da Ajuda, 35 Salao 1901 Parte — Centro — Rio De Janeiro/Rj — CEP 20040-000</t>
  </si>
  <si>
    <t>Jose Jacob Barata</t>
  </si>
  <si>
    <t>1994</t>
  </si>
  <si>
    <t>21 32666666</t>
  </si>
  <si>
    <t>lagra@saoclementesa.com.br</t>
  </si>
  <si>
    <t>GLOBAL INVESTMENT SERVICES DISTRIBUIDORA DE TÍTULOS E VALORES MOBILIÁRIOS LTDA.</t>
  </si>
  <si>
    <t>Rua Bela Cintra, 1149 Andar Sobreloja — Consolacao — Sao Paulo/Sp — CEP 01415-907</t>
  </si>
  <si>
    <t>Caio Fasanella Kairalla</t>
  </si>
  <si>
    <t>800 1608</t>
  </si>
  <si>
    <t>atendimento@globaldtvm.com</t>
  </si>
  <si>
    <t>compliance@mognodtvm.com</t>
  </si>
  <si>
    <t>E-mail comercial pesquisado 13/07/2026 (confiança média): Site oficial globaldtvm.com — a operação roda como Global DTVM (parceira da Nomad); mognodtvm.com está vazio.</t>
  </si>
  <si>
    <t>GDC PARTNERS SERVIÇOS FIDUCIÁRIOS DISTRIBUIDORA DE TÍTULOS E VALORES MOBILIÁRIOS LTDA.</t>
  </si>
  <si>
    <t>Avenida Ayrton Senna, 3000 Parte 3 Bloco Itanhanga Sala 3105 — Barra Da Tijuca — Rio De Janeiro/Rj — CEP 22775-003</t>
  </si>
  <si>
    <t>Juarez Celio Da Gama Dias Costa</t>
  </si>
  <si>
    <t>2009</t>
  </si>
  <si>
    <t>21 24904305</t>
  </si>
  <si>
    <t>gdc@gdcdtvm.com.br</t>
  </si>
  <si>
    <t>CAROL DISTRIBUIDORA DE TITULOS E VALORES MOBILIARIOS LTDA.</t>
  </si>
  <si>
    <t>Rua Cantagalo, 74 Andar 11 Conj 1109 — Vila Gomes Cardim — Sao Paulo/Sp — CEP 03319-000</t>
  </si>
  <si>
    <t>Arnaldo Robles Filho</t>
  </si>
  <si>
    <t>11 22278899</t>
  </si>
  <si>
    <t>kleber@caroldtvm.com.br</t>
  </si>
  <si>
    <t>LEV DISTRIBUIDORA DE TÍTULOS E VALORES MOBILIÁRIOS LTDA.</t>
  </si>
  <si>
    <t>Avenida Brig Faria Lima, 1234 Andar 5 — Jardim Paulistano — Sao Paulo/Sp — CEP 01451-913</t>
  </si>
  <si>
    <t>Marcelo Cerize</t>
  </si>
  <si>
    <t>2022</t>
  </si>
  <si>
    <t>11 40406610</t>
  </si>
  <si>
    <t>marcelo.cerize@lev.com.vc</t>
  </si>
  <si>
    <t>https://www.lev.com.vc/</t>
  </si>
  <si>
    <t>PENTAGONO S/A DISTRIBUIDORA DE TITULOS E VALORES MOBILIARIOS</t>
  </si>
  <si>
    <t>Avenida Das Americas, 4200 Bloco 08 Sala 302 B 303 B E 304 B — Barra Da Tijuca — Rio De Janeiro/Rj — CEP 22640-102</t>
  </si>
  <si>
    <t>Karolina Goncalves Vangelotti</t>
  </si>
  <si>
    <t>21 33854565</t>
  </si>
  <si>
    <t>diretoria@pentagonotrustee.com.br</t>
  </si>
  <si>
    <t>www.pentagonotrustee.com.br</t>
  </si>
  <si>
    <t>UNICRED DISTRIBUIDORA DE TITULOS E VALORES MOBILIARIOS LTDA</t>
  </si>
  <si>
    <t>RS</t>
  </si>
  <si>
    <t>Porto Alegre</t>
  </si>
  <si>
    <t>Rua Dezoito De Novembro, 314 Sala Dtvm — Navegantes — Porto Alegre/Rs — CEP 90240-040</t>
  </si>
  <si>
    <t>Alexandre Euzebio Silva</t>
  </si>
  <si>
    <t>2024</t>
  </si>
  <si>
    <t>dtvm@unicred.com.br</t>
  </si>
  <si>
    <t>www.unicred.com.br</t>
  </si>
  <si>
    <t>TRINUS CAPITAL DISTRIBUIDORA DE TÍTULOS E VALORES MOBILIÁRIOS S.A.</t>
  </si>
  <si>
    <t>DTVM (triagem manual)</t>
  </si>
  <si>
    <t>GO</t>
  </si>
  <si>
    <t>Goiânia</t>
  </si>
  <si>
    <t>Rua 72, 325 Quadrac14 Lote 10-13 Edif Trend Office Home Andar 12 — Jd Goias — Goiania/Go — CEP 74805-480</t>
  </si>
  <si>
    <t>Bruno Cavalcante Nunes</t>
  </si>
  <si>
    <t>62 37731700</t>
  </si>
  <si>
    <t>atendimento@trinusinvestimentos.com.br; administrativo@trinusco.com.br</t>
  </si>
  <si>
    <t>compliance@trinusco.com.br</t>
  </si>
  <si>
    <t>https://trinus.co/dtvm</t>
  </si>
  <si>
    <t>E-mail comercial pesquisado 13/07/2026 (confiança média): FAQ/central de atendimento oficial da Trinus + listagem pública (Diário Cidade). Triagem manual 12/07/2026 — Trinus.Co / Diego Siqueira (independente, Goiania). Formulario de referencia + BancoData: ativo ~R$ 8,6 mi, PL ~R$ 6,5 mi</t>
  </si>
  <si>
    <t>WEALTH HIGH GOVERNANCE DISTRIBUIDORA DE TÍTULOS E VALORES MOBILIÁRIOS S.A.</t>
  </si>
  <si>
    <t>Avenida Cidade Jardim, 803 Andar 7 Conj 72 — Itaim Bibi — Sao Paulo/Sp — CEP 01453-000</t>
  </si>
  <si>
    <t>Andre Davino Mitidieri</t>
  </si>
  <si>
    <t>11 35092322</t>
  </si>
  <si>
    <t>eric.cardozo@whg.com.br</t>
  </si>
  <si>
    <t>https://whg.com.br/</t>
  </si>
  <si>
    <t>NIKOS DISTRIBUIDORA DE TÍTULOS E VALORES MOBILIÁRIOS LTDA.</t>
  </si>
  <si>
    <t>Rua Visconde De Piraja, 00470 Sal 401 — Ipanema — Rio De Janeiro/Rj — CEP 22410-002</t>
  </si>
  <si>
    <t>Breno Casiuch</t>
  </si>
  <si>
    <t>1981</t>
  </si>
  <si>
    <t>21 995069870</t>
  </si>
  <si>
    <t>contato@nikos.com.br</t>
  </si>
  <si>
    <t>juridico@nikos.com.br</t>
  </si>
  <si>
    <t>E-mail comercial pesquisado 13/07/2026 (confiança alta): Cadastro BCB (via qualobanco.com.br) + domínio do site oficial nikos.com.br.</t>
  </si>
  <si>
    <t>H.COMMCOR DISTRIBUIDORA DE TÍTULOS E VALORES MOBILIÁRIOS LTDA.</t>
  </si>
  <si>
    <t>Rua Urussui, 300 Andar 9 Conj 93 — Itaim Bibi — Sao Paulo/Sp — CEP 04542-903</t>
  </si>
  <si>
    <t>Luiz Eduardo De Paula</t>
  </si>
  <si>
    <t>11 21272727</t>
  </si>
  <si>
    <t>diretoria@commcor.com.br</t>
  </si>
  <si>
    <t>www.commcor.com.br</t>
  </si>
  <si>
    <t>Verificada 12/07/2026: nacional (familia de Paula); migrou carteira de varejo ao BTG em 2024/25 - casa encolhendo/buscando receita: bom timing de abordagem.</t>
  </si>
  <si>
    <t>TRADERS DISTRIBUIDORA DE TÍTULOS E VALORES MOBILIÁRIOS LTDA.</t>
  </si>
  <si>
    <t>Avenida Pres Juscelino Kubitschek, 1830 Edif Sao Luis Torre 2 Andar 5 Conj 52 — Vila Nova Conceicao — Sao Paulo/Sp — CEP 04543-900</t>
  </si>
  <si>
    <t>Israel Calebe Massa</t>
  </si>
  <si>
    <t>11 23951100</t>
  </si>
  <si>
    <t>institucional@traders.com.br</t>
  </si>
  <si>
    <t>www.traders.com.br</t>
  </si>
  <si>
    <t>COLUNA S/A DISTRIBUIDORA DE TITULOS E VALORES MOBILIÁRIOS</t>
  </si>
  <si>
    <t>Travessa Do Ouvidor, 00005 Sal 701 — Centro — Rio De Janeiro/Rj — CEP 20040-040</t>
  </si>
  <si>
    <t>Marcelle Mascaro Nardino</t>
  </si>
  <si>
    <t>1995</t>
  </si>
  <si>
    <t>21 25050300</t>
  </si>
  <si>
    <t>marcelle.nardino@colunadtvm.com.br</t>
  </si>
  <si>
    <t>compliance@colunadtvm.com.br</t>
  </si>
  <si>
    <t>www.colunadtvm.com.br</t>
  </si>
  <si>
    <t>E-mail comercial pesquisado 13/07/2026 (confiança baixa): Inferido do padrão nome.sobrenome do domínio (RocketReach; ZoomInfo confirma m***@ p/ Marcelle Nardino, diretora); site não publica e-mail.</t>
  </si>
  <si>
    <t>OPPORTUNITY DISTRIBUIDORA DE TÍTULOS E VALORES MOBILIÁRIOS LTDA</t>
  </si>
  <si>
    <t>Rua Visconde De Piraja, 00351 Sala 1.401 Duplex — Ipanema — Rio De Janeiro/Rj — CEP 22410-906</t>
  </si>
  <si>
    <t>Ana Carolina De Oliveira Silva Moreira Lima</t>
  </si>
  <si>
    <t>1997</t>
  </si>
  <si>
    <t>21 38043800</t>
  </si>
  <si>
    <t>gar.dtvm@opportunity.com.br</t>
  </si>
  <si>
    <t>UNIDA DISTRIBUIDORA DE TÍTULOS E VALORES MOBILIÁRIOS LTDA.</t>
  </si>
  <si>
    <t>Alameda Rio Negro, 500 Pavmto17 Torre 2 Cond West Towers Sala 1703 1704 1706E 1708 — Alphaville Centro Industrial E Empresarial/Alphav — Barueri/Sp — CEP 06454-000</t>
  </si>
  <si>
    <t>Julio Cesar Beranger</t>
  </si>
  <si>
    <t>11 35065500</t>
  </si>
  <si>
    <t>julio.beranger@unidadtvm.com.br; clientes@unidadtvm.com.br</t>
  </si>
  <si>
    <t>compliance-ci@unidadtvm.com.br</t>
  </si>
  <si>
    <t>E-mail comercial pesquisado 13/07/2026 (confiança média): Inferido do padrão first.last (RocketReach: 100% do domínio) + fallback oficial do site.</t>
  </si>
  <si>
    <t>F.D'GOLD - DISTRIBUIDORA DE TÍTULOS E VALORES MOBILIÁRIOS LTDA.</t>
  </si>
  <si>
    <t>Avenida Paulista, 1159 Andar 13 Conj 1.304 — Bela Vista — Sao Paulo/Sp — CEP 01311-921</t>
  </si>
  <si>
    <t>Anderson Aparecido Dias</t>
  </si>
  <si>
    <t>2007</t>
  </si>
  <si>
    <t>11 35495070</t>
  </si>
  <si>
    <t>joao.oliveira@dgold.com.br</t>
  </si>
  <si>
    <t>OM DISTRIBUIDORA DE TÍTULOS E VALORES MOBILIÁRIOS LTDA</t>
  </si>
  <si>
    <t>Avenida Cidade Jardim, 400 Conj 173 174 175 E 176 — Jardim Paulistano — Sao Paulo/Sp — CEP 01454-901</t>
  </si>
  <si>
    <t>Elson Do Nascimento Nunes Gusmao</t>
  </si>
  <si>
    <t>2010</t>
  </si>
  <si>
    <t>11 32180991</t>
  </si>
  <si>
    <t>elson@ourominas.com</t>
  </si>
  <si>
    <t>compliance@ourominas.com</t>
  </si>
  <si>
    <t>https://ourominas.com/om</t>
  </si>
  <si>
    <t>E-mail comercial pesquisado 13/07/2026 (confiança baixa): Inferido do padrão {primeiro-nome}@ (ContactOut: ~70% do domínio); site só publica app@.</t>
  </si>
  <si>
    <t>RB INVESTIMENTOS DISTRIBUIDORA DE TITULOS E VALORES MOBILIARIOS LIMITADA</t>
  </si>
  <si>
    <t>Rua Olimpiadas, 205 — Vila Olimpia — Sao Paulo/Sp — CEP 04551-000</t>
  </si>
  <si>
    <t>Adalbero De Araujo Cavalcanti</t>
  </si>
  <si>
    <t>1983</t>
  </si>
  <si>
    <t>11 31272700</t>
  </si>
  <si>
    <t>adalbero.cavalcanti@rbinvestimentos.com</t>
  </si>
  <si>
    <t>compliance@rbinvestimentos.com</t>
  </si>
  <si>
    <t>www.rbinvestimentos.com</t>
  </si>
  <si>
    <t>E-mail comercial pesquisado 13/07/2026 (confiança alta): CONFIRMADO no site oficial (página Governança &amp; Compliance) — e-mail nominal do diretor responsável.</t>
  </si>
  <si>
    <t>GALAPAGOS CAPITAL DISTRIBUIDORA DE TÍTULOS E VALORES MOBILIÁRIOS S.A.</t>
  </si>
  <si>
    <t>Avenida Reboucas, 3507 Andar 1 Parte — Pinheiros — Sao Paulo/Sp — CEP 05401-400</t>
  </si>
  <si>
    <t>Arnaldo Augusto Dequech Curvello</t>
  </si>
  <si>
    <t>11 37772088</t>
  </si>
  <si>
    <t>acurvello@galapagoscapital.com; atendimento@galapagoscapital.com</t>
  </si>
  <si>
    <t>compliance@galapagoscapital.com</t>
  </si>
  <si>
    <t>E-mail comercial pesquisado 13/07/2026 (confiança baixa): Inferido do padrão {inicial}{sobrenome} (ContactOut/LeadIQ: ~75% do domínio) + fallback oficial do site. Verificada 12/07/2026: independente nacional (Carlos Fonseca e socios); ja e grupo medio em expansao - menos faminta que as demais.</t>
  </si>
  <si>
    <t>VIC-DISTRIBUIDORA DE TITULOS E VALORES MOBILIARIOS S/A</t>
  </si>
  <si>
    <t>Rua Da Assembleia, 10 Grupo 2701 — Centro — Rio De Janeiro/Rj — CEP 20011-901</t>
  </si>
  <si>
    <t>Victor Adler</t>
  </si>
  <si>
    <t>1977</t>
  </si>
  <si>
    <t>21 39709250</t>
  </si>
  <si>
    <t>vicadler@uol.com.br</t>
  </si>
  <si>
    <t>VIS DISTRIBUIDORA DE TÍTULOS E VALORES MOBILIÁRIOS LTDA</t>
  </si>
  <si>
    <t>MT</t>
  </si>
  <si>
    <t>Cuiabá</t>
  </si>
  <si>
    <t>Avenida Das Flores, 945 Sala 103 Andar 1 — Jardim Cuiaba — Cuiaba/Mt — CEP 78043-172</t>
  </si>
  <si>
    <t>Sandro Sebastiao Gomes Da Silva</t>
  </si>
  <si>
    <t>65 30464940</t>
  </si>
  <si>
    <t>contato@fenixdtvm.com.br</t>
  </si>
  <si>
    <t>comunicacoes@visdtvm.com.br</t>
  </si>
  <si>
    <t>www.visdtvm.com.br</t>
  </si>
  <si>
    <t>E-mail comercial pesquisado 13/07/2026 (confiança média): Perfil Brasil Mineral da Fênix DTVM; domínio confirmado pelo site oficial fenixdtvm.com.br. Triagem manual 12/07/2026 — Grupo FNX (Fenix DTVM, independente). CNPJ/site: DTVM nova de Cuiaba. ATENCAO: opera ouro de garimpo (PLG) - risco reputacional/PLD; avaliar antes de abordar</t>
  </si>
  <si>
    <t>OXY DISTRIBUIDORA DE TÍTULOS E VALORES MOBILIÁRIOS S.A.</t>
  </si>
  <si>
    <t>Avenida Plinio Brasil Milano, 567 Sala 1001 — Auxiliadora — Porto Alegre/Rs — CEP 90450-085</t>
  </si>
  <si>
    <t>Lisandra Ughini</t>
  </si>
  <si>
    <t>51 35156200</t>
  </si>
  <si>
    <t>lufe.carchedi@oxycreditoimobiliario.com.br</t>
  </si>
  <si>
    <t>Triagem manual 12/07/2026 — Familia Carchedi (independente, POA). BCB: autorizada 2024/25 com capital R$ 1,5 mi (mesmo grupo da OXY Hipotecaria)</t>
  </si>
  <si>
    <t>Firma</t>
  </si>
  <si>
    <t>Tier</t>
  </si>
  <si>
    <t>Nº fundos auditados</t>
  </si>
  <si>
    <t>Abordagem</t>
  </si>
  <si>
    <t>NEXT AUDITORES INDEPENDENTES S/S LTDA.</t>
  </si>
  <si>
    <t>Boutique</t>
  </si>
  <si>
    <t>Blumenau</t>
  </si>
  <si>
    <t>4732881979</t>
  </si>
  <si>
    <t>Canal INDIRETO: relacionamento (auditoria barata p/ os fundos + fonte de indicações) — não é alvo de parceria</t>
  </si>
  <si>
    <t>BDO RCS AUDITORES INDEPENDENTES - SOCIEDADE SIMPLES LIMITADA</t>
  </si>
  <si>
    <t>Rede intl</t>
  </si>
  <si>
    <t>Uberlândia</t>
  </si>
  <si>
    <t>1138485880</t>
  </si>
  <si>
    <t>GRANT THORNTON AUDITORES INDEPENDENTES LTDA.</t>
  </si>
  <si>
    <t>1138865100</t>
  </si>
  <si>
    <t>RSM BRASIL AUDITORES INDEPENDENTES LTDA.</t>
  </si>
  <si>
    <t>1121547795</t>
  </si>
  <si>
    <t>UHY BENDORAYTES &amp; CIA AUDITORES INDEPENDENTES</t>
  </si>
  <si>
    <t>2130304662</t>
  </si>
  <si>
    <t>CONFIANCE AUDITORES INDEPENDENTES</t>
  </si>
  <si>
    <t>01150965196</t>
  </si>
  <si>
    <t>YPC AUDITUN S AUDITORIA INDEPENDENTE S/S</t>
  </si>
  <si>
    <t>1138169888</t>
  </si>
  <si>
    <t>BWEL AUDITORES INDEPENDENTES SOCIEDADE SIMPLES</t>
  </si>
  <si>
    <t>MGI ASSURANCE AUDITORES INDEPENDENTES SS</t>
  </si>
  <si>
    <t>4130446127</t>
  </si>
  <si>
    <t>BAKER TILLY 4PARTNERS AUDITORES INDEPENDENTES LTDA.</t>
  </si>
  <si>
    <t>São Bernardo Do Campo</t>
  </si>
  <si>
    <t>1151022510</t>
  </si>
  <si>
    <t>BAKER TILLY BRASIL GO AUDITORES INDEPENDENTES S/S</t>
  </si>
  <si>
    <t>6239983336</t>
  </si>
  <si>
    <t>RSM ACAL AUDITORES INDEPENDENTES S/S</t>
  </si>
  <si>
    <t>2121598801</t>
  </si>
  <si>
    <t>AUDIPEC AUDITORIA E PERÍCIA CONTÁBIL S/S</t>
  </si>
  <si>
    <t>2122522160</t>
  </si>
  <si>
    <t>BKR - LOPES, MACHADO AUDITORES</t>
  </si>
  <si>
    <t>2121565800</t>
  </si>
  <si>
    <t>AUDIFACTOR AUDITORES INDEPENDENTES S/S LTDA</t>
  </si>
  <si>
    <t>4730353231</t>
  </si>
  <si>
    <t>CONATUS AUDITORES INDEPENDENTES S/S</t>
  </si>
  <si>
    <t>1136273318</t>
  </si>
  <si>
    <t>SÊNIOR AUDITORES INDEPENDENTES S/S</t>
  </si>
  <si>
    <t>Maringá</t>
  </si>
  <si>
    <t>4430261441</t>
  </si>
  <si>
    <t>FORVIS MAZARS AUDITORES INDEPENDENTES - SOCIEDADE SIMPLES LTDA.</t>
  </si>
  <si>
    <t>1135244500</t>
  </si>
  <si>
    <t>NOVA MASTER AUDITORES INDEPENDENTES</t>
  </si>
  <si>
    <t>1150895900</t>
  </si>
  <si>
    <t>RAMIRES &amp; CIA - AUDITORES  INDEPENDENTES  SOCIEDADE SIMPLES</t>
  </si>
  <si>
    <t>5196611136</t>
  </si>
  <si>
    <t>MCS MARKUP AUDITORES INDEPENDENTES S/S LTDA</t>
  </si>
  <si>
    <t>2125331122</t>
  </si>
  <si>
    <t>MBAUDIT - AUDITORES INDEPENDENTES S/S</t>
  </si>
  <si>
    <t>5133376664</t>
  </si>
  <si>
    <t>IDEA AUDITORES INDEPENDENTES S/S</t>
  </si>
  <si>
    <t>6295500064</t>
  </si>
  <si>
    <t>ECOVIS WFA AUDITORES INDEPENDENTES S/S</t>
  </si>
  <si>
    <t>1151835422</t>
  </si>
  <si>
    <t>VENEZIANI AUDITORES INDEPENDENTES</t>
  </si>
  <si>
    <t>1131055051</t>
  </si>
  <si>
    <t>MOORE CONSULTING NEWS AUDITORES INDEPENDENTES</t>
  </si>
  <si>
    <t>3132848955</t>
  </si>
  <si>
    <t>TRS AUDITORES INDEPENDENTES</t>
  </si>
  <si>
    <t>PEMOM AUDITORES INDEPENDENTES LTDA.</t>
  </si>
  <si>
    <t>BAKER TILLY BRASIL RS AUDITORES INDEPENDENTES - SOCIEDADE SIMPLES</t>
  </si>
  <si>
    <t>5135087734</t>
  </si>
  <si>
    <t>INFORCONT AUDITORES INDEPENDENTES</t>
  </si>
  <si>
    <t>2122420777</t>
  </si>
  <si>
    <t>MOORE METRI AUDITORES LTDA</t>
  </si>
  <si>
    <t>Joinville</t>
  </si>
  <si>
    <t>4734226474</t>
  </si>
  <si>
    <t>AUDIBANCO - AUDITORES INDEPENDENTES SOCIEDADE SIMPLES</t>
  </si>
  <si>
    <t>4830257458</t>
  </si>
  <si>
    <t>RUSSELL BEDFORD GM AUDITORES INDEPENDENTES S/S</t>
  </si>
  <si>
    <t>5140071219</t>
  </si>
  <si>
    <t>AUDIBRAS - AUDITORES E CONSULTORES S/S</t>
  </si>
  <si>
    <t>Guarulhos</t>
  </si>
  <si>
    <t>1123822666</t>
  </si>
  <si>
    <t>RUHTRA S/C</t>
  </si>
  <si>
    <t>PHD PARTNERS AUDITORES INDEPENDENTES S/S</t>
  </si>
  <si>
    <t>PARKER RUSSELL BRASIL AUDITORES INDEPENDENTES S/S LTDA.</t>
  </si>
  <si>
    <t>1136285126</t>
  </si>
  <si>
    <t>AUDSÉRVICE AUDITORES ASSOCIADOS SOCIEDADE SIMPLES</t>
  </si>
  <si>
    <t>BOUCINHAS, CAMPOS &amp; CONTI AUDITORES INDEPENDENTES S/S</t>
  </si>
  <si>
    <t>1151118888</t>
  </si>
  <si>
    <t>CONSULT - AUDITORES INDEPENDENTES</t>
  </si>
  <si>
    <t>Cascavel</t>
  </si>
  <si>
    <t>ANEND AUDITORES INDEPENDENTES</t>
  </si>
  <si>
    <t>PSW BRASIL AUDITORES INDEPENDENTES</t>
  </si>
  <si>
    <t>4132224001</t>
  </si>
  <si>
    <t>HLV AUDITORES - SOCIEDADE SIMPLES</t>
  </si>
  <si>
    <t>TAG AUDITORIA E CONSULTORIA EMPRESARIAL S/S</t>
  </si>
  <si>
    <t>2122249262</t>
  </si>
  <si>
    <t>OWL AUDITORES INDEPENDENTES S/S LIMITADA</t>
  </si>
  <si>
    <t>DF</t>
  </si>
  <si>
    <t>Brasília</t>
  </si>
  <si>
    <t>6133222233</t>
  </si>
  <si>
    <t>VAC AUDITORES INDEPENDENTES</t>
  </si>
  <si>
    <t>São José Dos Campos</t>
  </si>
  <si>
    <t>1130271800</t>
  </si>
  <si>
    <t>BAKER TILLY BRASIL RJ AUDITORES INDEPENDENTES LTDA.</t>
  </si>
  <si>
    <t>2135495399</t>
  </si>
  <si>
    <t>CLA - CLIFTON LARSON ALLEN BRASIL AUDITORES INDEPENDENTES S/S LTDA</t>
  </si>
  <si>
    <t>1120505320</t>
  </si>
  <si>
    <t>RONSKOSKI AUDITORES INDEPENDENTES S/S</t>
  </si>
  <si>
    <t>São José Dos Pinhais</t>
  </si>
  <si>
    <t>3196601120</t>
  </si>
  <si>
    <t>CROWE MACRO AUDITORES INDEPENDENTES SOCIEDADE SIMPLES</t>
  </si>
  <si>
    <t>Osasco</t>
  </si>
  <si>
    <t>1156323733</t>
  </si>
  <si>
    <t>MOORE PRIME AUDITORES E CONSULTORES SOCIEDADE SIMPLES</t>
  </si>
  <si>
    <t>5195656447</t>
  </si>
  <si>
    <t>MCO AUDITORES INDEPENDENTES</t>
  </si>
  <si>
    <t>1157804860</t>
  </si>
  <si>
    <t>CLAUDIO BIANCHESSI &amp; ASSOC AUDITORES S/C</t>
  </si>
  <si>
    <t>PERFORMANCE AUDITORIA E CONSULTORIA EMPRESARIAL SOCIEDADE SIMPLES</t>
  </si>
  <si>
    <t>PREMIUMMAXX AUDITORES INDEPENDENTES LTDA</t>
  </si>
  <si>
    <t>2135470076</t>
  </si>
  <si>
    <t>BEAUDIT INTERNATIONAL AUDITORES INDEPENDENTES</t>
  </si>
  <si>
    <t>ÁPICE AUDITORES INDEPENDENTES S/S</t>
  </si>
  <si>
    <t>01131712727</t>
  </si>
  <si>
    <t>CONFIDOR AUDITORES ASSOCIADOS</t>
  </si>
  <si>
    <t>5132228933</t>
  </si>
  <si>
    <t>REIS CONSULTORIA, AUDITORIA AUDITORES INDEPENDENTES</t>
  </si>
  <si>
    <t>2122628643</t>
  </si>
  <si>
    <t>AZEVEDO AUDITORES INDEPENDENTES S/S</t>
  </si>
  <si>
    <t>Bauru</t>
  </si>
  <si>
    <t>1430181755</t>
  </si>
  <si>
    <t>PP&amp;C AUDITORES INDEPENDENTES S/S</t>
  </si>
  <si>
    <t>1138831600</t>
  </si>
  <si>
    <t>LMV AUDITORES E CONSULTORES S/S</t>
  </si>
  <si>
    <t>2182234173</t>
  </si>
  <si>
    <t>MATTOSO AUDITORES INDEPENDENTES &amp; ASSOCIADOS LTDA.</t>
  </si>
  <si>
    <t>3196379931</t>
  </si>
  <si>
    <t>VAZ &amp; MAIA AUDITORES INDEPENDENTES</t>
  </si>
  <si>
    <t>3132731485</t>
  </si>
  <si>
    <t>MAZARS &amp; GUÉRARD AUDITORES INDEPENDENTES</t>
  </si>
  <si>
    <t>BIANCHESSI &amp; CIA  AUDITORES</t>
  </si>
  <si>
    <t>ARTHUR ANDERSEN BIEDERMANN A I</t>
  </si>
  <si>
    <t>NARDON, NASI - AUDITORES INDEPENDENTES S/S EPP</t>
  </si>
  <si>
    <t>CONTROLLER AUDITORIA E ASSESSORIA CONTÁBIL S/S</t>
  </si>
  <si>
    <t>CE</t>
  </si>
  <si>
    <t>Fortaleza</t>
  </si>
  <si>
    <t>8532082700</t>
  </si>
  <si>
    <t>ADVISER SUL AUDITORES INDEPENDENTES</t>
  </si>
  <si>
    <t>4734332844</t>
  </si>
  <si>
    <t>MÜLLER &amp; PREI AUDITORES INDEPENDENTES S/S</t>
  </si>
  <si>
    <t>4130789990</t>
  </si>
  <si>
    <t>AUGE CONTADORES S/S</t>
  </si>
  <si>
    <t>AUDCORP AUDITORIA E ASSESSORIA S/S</t>
  </si>
  <si>
    <t>Campinas</t>
  </si>
  <si>
    <t>1932954875</t>
  </si>
  <si>
    <t>BLB - AUDITORES INDEPENDENTES</t>
  </si>
  <si>
    <t>1639314930</t>
  </si>
  <si>
    <t>AASS AUDITORIA E ASSESSORIA S/S</t>
  </si>
  <si>
    <t>RNC - RIO NOVO AUDITORES INDEPENDENTES S/S</t>
  </si>
  <si>
    <t>1135496400</t>
  </si>
  <si>
    <t>PKF AFFIANCE BRAZIL AUDITORES INDEPENDENTES LTDA</t>
  </si>
  <si>
    <t>1130701000</t>
  </si>
  <si>
    <t>FINAUD AUDITORES INDEPENDENTES SOCIEDADE SIMPLES</t>
  </si>
  <si>
    <t>1120996070</t>
  </si>
  <si>
    <t>MRU AUDITORES INDEPENDENTES LTDA</t>
  </si>
  <si>
    <t>2122347374</t>
  </si>
  <si>
    <t>MARTINELLI AUDITORES</t>
  </si>
  <si>
    <t>PE</t>
  </si>
  <si>
    <t>Recife</t>
  </si>
  <si>
    <t>4721011900</t>
  </si>
  <si>
    <t>ARGUS — CRM DE PROSPECÇÃO (gerado em 12/07/2026 a partir de bancos_alvo.csv e auditores_alvo.xlsx)</t>
  </si>
  <si>
    <t>COMO USAR</t>
  </si>
  <si>
    <t>· As colunas AMARELAS são as suas (Decisor, Status, datas, notas). Todo o resto vem do pipeline — não edite; regenere pelos scripts.</t>
  </si>
  <si>
    <t>· CARTA FÍSICA: coluna 'Carta' = SIM em TODOS os alvos (decisão 13/07/2026 — custo baixo); desmarque caso a caso se quiser. As cartas JÁ PREENCHIDAS (nome, cargo, endereço, WhatsApp) estão em abordagem/cartas/prontas/ — imprimir, assinar à mão, registrada com AR.</t>
  </si>
  <si>
    <t>· 'Endereço (carta)' e 'Responsável (QSA Receita)' vêm do cadastro da Receita Federal (12/07/2026) — para a CARTA FÍSICA nominal. O QSA lista sócios/administradores REGISTRADOS: confirme antes de endereçar (pode não ser o decisor comercial) e copie para a coluna Decisor ao validar.</t>
  </si>
  <si>
    <t>· 'E-mail' traz o MELHOR contato p/ proposta comercial (pesquisa web 13/07/2026; vários separados por ';', melhor primeiro — confiança e fonte na coluna Notas). 'E-mail 2 (regulatório)' guarda a caixa regulatória original (compliance@ etc.) — último recurso. Confiança 'baixa' = padrão de domínio inferido: envie com cópia ao fallback.</t>
  </si>
  <si>
    <t>· 'Follow-up em' é FÓRMULA (cinza): 1º contato + 5 dias úteis. Preencha 'Data 1º contato' e ela calcula sozinha.</t>
  </si>
  <si>
    <t>· Status sugeridos: A CONTATAR → ENVIADO → FOLLOW-UP → CONVERSA → REUNIÃO → LOI → DESCARTADO (motivo nas Notas).</t>
  </si>
  <si>
    <t>· Exemplo de linha preenchida: Status=ENVIADO · Data 1º contato=14/07/2026 → Follow-up em=21/07/2026 · Próximo passo='ligar se não responder'.</t>
  </si>
  <si>
    <t>AS ABAS — POR TIPO DE INSTITUIÇÃO (todas com as DUAS licenças ao alcance)</t>
  </si>
  <si>
    <t>· Consolidado — todos os alvos em uma tela, com a coluna Tipo para filtrar.</t>
  </si>
  <si>
    <t>· Bancos — elegíveis diretos às DUAS licenças (adm 60d + custódia 90d); capital adicional R$ 0; template A.</t>
  </si>
  <si>
    <t>· Corretoras (CTVM) — idem bancos; template A2.</t>
  </si>
  <si>
    <t>· DTVMs não-adm — elegíveis diretos às DUAS licenças e SEM retaguarda de fundos (checado no cadastro CVM); as que JÁ CUSTODIAM vêm no topo, em verde — melhores alvos da planilha. NDA ANTES DO DECK, SEMPRE.</t>
  </si>
  <si>
    <t>· Auditores (canal) — canal INDIRETO: auditoria barata p/ os fundos + fonte de indicações. Não é alvo de parceria-licença.</t>
  </si>
  <si>
    <t>COBERTURA E EXCLUSÕES (por que alguém NÃO está aqui)</t>
  </si>
  <si>
    <t>· CRITÉRIO (12/07/2026): só entra quem licencia SEM grande dificuldade E pode ter casa de custódia própria — rol fechado da Res. CVM 32, art. 4º: bancos, caixas econômicas, CTVMs e DTVMs. Não existe outro tipo elegível às duas licenças.</t>
  </si>
  <si>
    <t>· Removidos por esse critério: Financeiras/SCFI (administram pela Res. 5.237, mas NUNCA custodiam — fora do rol) e SCD/IP/câmbio/hipotecária (objeto não comporta; só constituindo DTVM nova = grande dificuldade). Seguem no bancos_alvo.xlsx (Master) se a estratégia mudar.</t>
  </si>
  <si>
    <t>· Também excluídos: DTVMs que JÁ administram fundos e adm. fiduciários (absorvem a ideia), grupos com administradora, escala &gt; R$ 400 mi, porte não confirmável, estatais/estrangeiros/captivos (caixas econômicas são estatais).</t>
  </si>
  <si>
    <t>· Expansão futura: subir o teto p/ R$ 1-2 bi no build_lista.py e re-rodar; triar manualmente os sem-dado.</t>
  </si>
  <si>
    <t>REGRAS DA CAMPANHA</t>
  </si>
  <si>
    <t>· Remetente único: vinicius.fernandes@argusdtvm.com.br · 10-20 envios/dia · 2 anexos fixos (Tour + one-pager do segmento) · follow-up modelo E.</t>
  </si>
  <si>
    <t>Cor de célula editável (suas colunas):</t>
  </si>
  <si>
    <t>Cor de fórmula (não editar):</t>
  </si>
  <si>
    <t>TOTAIS (fórmulas ao vivo):</t>
  </si>
  <si>
    <t>Bancos:</t>
  </si>
  <si>
    <t>Corretoras (CTVM):</t>
  </si>
  <si>
    <t>DTVMs não-adm:</t>
  </si>
  <si>
    <t>Auditores (canal):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</si>
</sst>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0D7A3F"/>
      <name val="Arial"/>
    </font>
  </fonts>
  <fills count="5">
    <fill>
      <patternFill patternType="none"/>
    </fill>
    <fill>
      <patternFill patternType="gray125"/>
    </fill>
    <fill>
      <patternFill patternType="solid">
        <fgColor rgb="FF17123A"/>
      </patternFill>
    </fill>
    <fill>
      <patternFill patternType="solid">
        <fgColor rgb="FFFFF2CC"/>
      </patternFill>
    </fill>
    <fill>
      <patternFill patternType="solid">
        <fgColor rgb="FFEDED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8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vertical="top"/>
    </xf>
    <xf numFmtId="14" fontId="2" fillId="4" borderId="1" xfId="0" applyNumberFormat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2" borderId="0" xfId="0" applyFont="1" applyFill="1"/>
    <xf numFmtId="0" fontId="3" fillId="0" borderId="0" xfId="0" applyFont="1"/>
    <xf numFmtId="0" fontId="2" fillId="0" borderId="0" xfId="0" applyFont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123A"/>
  </sheetPr>
  <dimension ref="A1:AC44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46" customWidth="1"/>
    <col min="3" max="3" width="26" customWidth="1"/>
    <col min="4" max="4" width="5" customWidth="1"/>
    <col min="5" max="5" width="15" customWidth="1"/>
    <col min="6" max="6" width="52" customWidth="1"/>
    <col min="7" max="7" width="26" customWidth="1"/>
    <col min="8" max="8" width="20" customWidth="1"/>
    <col min="9" max="9" width="8" customWidth="1"/>
    <col min="10" max="10" width="17" customWidth="1"/>
    <col min="11" max="12" width="15" customWidth="1"/>
    <col min="13" max="13" width="9" customWidth="1"/>
    <col min="14" max="14" width="14" customWidth="1"/>
    <col min="15" max="15" width="34" customWidth="1"/>
    <col min="16" max="16" width="26" customWidth="1"/>
    <col min="17" max="17" width="24" customWidth="1"/>
    <col min="18" max="18" width="46" customWidth="1"/>
    <col min="19" max="19" width="34" customWidth="1"/>
    <col min="20" max="20" width="24" customWidth="1"/>
    <col min="21" max="21" width="18" customWidth="1"/>
    <col min="22" max="22" width="14" customWidth="1"/>
    <col min="23" max="23" width="24" customWidth="1"/>
    <col min="24" max="24" width="14" customWidth="1"/>
    <col min="25" max="26" width="12" customWidth="1"/>
    <col min="27" max="27" width="16" customWidth="1"/>
    <col min="28" max="28" width="18" customWidth="1"/>
    <col min="29" max="29" width="28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4" t="s">
        <v>37</v>
      </c>
      <c r="J2" s="3" t="s">
        <v>38</v>
      </c>
      <c r="K2" s="5">
        <v>22087181.620000001</v>
      </c>
      <c r="L2" s="3"/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6"/>
      <c r="V2" s="6"/>
      <c r="W2" s="6"/>
      <c r="X2" s="6"/>
      <c r="Y2" s="7"/>
      <c r="Z2" s="8" t="str">
        <f t="shared" ref="Z2:Z44" si="0">IF(Y2="","",WORKDAY(Y2,5))</f>
        <v/>
      </c>
      <c r="AA2" s="6"/>
      <c r="AB2" s="6"/>
      <c r="AC2" s="6" t="s">
        <v>47</v>
      </c>
    </row>
    <row r="3" spans="1:29" x14ac:dyDescent="0.3">
      <c r="A3" s="2" t="s">
        <v>29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36</v>
      </c>
      <c r="I3" s="4" t="s">
        <v>37</v>
      </c>
      <c r="J3" s="3" t="s">
        <v>38</v>
      </c>
      <c r="K3" s="5">
        <v>30736757.870000001</v>
      </c>
      <c r="L3" s="3"/>
      <c r="M3" s="3" t="s">
        <v>54</v>
      </c>
      <c r="N3" s="3" t="s">
        <v>55</v>
      </c>
      <c r="O3" s="3" t="s">
        <v>56</v>
      </c>
      <c r="P3" s="3"/>
      <c r="Q3" s="3"/>
      <c r="R3" s="3" t="s">
        <v>44</v>
      </c>
      <c r="S3" s="3" t="s">
        <v>45</v>
      </c>
      <c r="T3" s="3" t="s">
        <v>46</v>
      </c>
      <c r="U3" s="6"/>
      <c r="V3" s="6"/>
      <c r="W3" s="6"/>
      <c r="X3" s="6"/>
      <c r="Y3" s="7"/>
      <c r="Z3" s="8" t="str">
        <f t="shared" si="0"/>
        <v/>
      </c>
      <c r="AA3" s="6"/>
      <c r="AB3" s="6"/>
      <c r="AC3" s="6"/>
    </row>
    <row r="4" spans="1:29" x14ac:dyDescent="0.3">
      <c r="A4" s="2" t="s">
        <v>29</v>
      </c>
      <c r="B4" s="3" t="s">
        <v>57</v>
      </c>
      <c r="C4" s="3" t="s">
        <v>31</v>
      </c>
      <c r="D4" s="3" t="s">
        <v>50</v>
      </c>
      <c r="E4" s="3" t="s">
        <v>58</v>
      </c>
      <c r="F4" s="3" t="s">
        <v>59</v>
      </c>
      <c r="G4" s="3" t="s">
        <v>60</v>
      </c>
      <c r="H4" s="3" t="s">
        <v>36</v>
      </c>
      <c r="I4" s="4" t="s">
        <v>37</v>
      </c>
      <c r="J4" s="3" t="s">
        <v>38</v>
      </c>
      <c r="K4" s="5">
        <v>32908577.68</v>
      </c>
      <c r="L4" s="3"/>
      <c r="M4" s="3" t="s">
        <v>61</v>
      </c>
      <c r="N4" s="3" t="s">
        <v>62</v>
      </c>
      <c r="O4" s="3" t="s">
        <v>63</v>
      </c>
      <c r="P4" s="3" t="s">
        <v>64</v>
      </c>
      <c r="Q4" s="3" t="s">
        <v>65</v>
      </c>
      <c r="R4" s="3" t="s">
        <v>44</v>
      </c>
      <c r="S4" s="3" t="s">
        <v>45</v>
      </c>
      <c r="T4" s="3" t="s">
        <v>46</v>
      </c>
      <c r="U4" s="6"/>
      <c r="V4" s="6"/>
      <c r="W4" s="6"/>
      <c r="X4" s="6"/>
      <c r="Y4" s="7"/>
      <c r="Z4" s="8" t="str">
        <f t="shared" si="0"/>
        <v/>
      </c>
      <c r="AA4" s="6"/>
      <c r="AB4" s="6"/>
      <c r="AC4" s="6" t="s">
        <v>66</v>
      </c>
    </row>
    <row r="5" spans="1:29" x14ac:dyDescent="0.3">
      <c r="A5" s="2" t="s">
        <v>29</v>
      </c>
      <c r="B5" s="3" t="s">
        <v>67</v>
      </c>
      <c r="C5" s="3" t="s">
        <v>49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4" t="s">
        <v>37</v>
      </c>
      <c r="J5" s="3" t="s">
        <v>38</v>
      </c>
      <c r="K5" s="5">
        <v>51108343.25</v>
      </c>
      <c r="L5" s="3"/>
      <c r="M5" s="3" t="s">
        <v>73</v>
      </c>
      <c r="N5" s="3" t="s">
        <v>74</v>
      </c>
      <c r="O5" s="3" t="s">
        <v>75</v>
      </c>
      <c r="P5" s="3"/>
      <c r="Q5" s="3" t="s">
        <v>76</v>
      </c>
      <c r="R5" s="3" t="s">
        <v>44</v>
      </c>
      <c r="S5" s="3" t="s">
        <v>45</v>
      </c>
      <c r="T5" s="3" t="s">
        <v>46</v>
      </c>
      <c r="U5" s="6"/>
      <c r="V5" s="6"/>
      <c r="W5" s="6"/>
      <c r="X5" s="6"/>
      <c r="Y5" s="7"/>
      <c r="Z5" s="8" t="str">
        <f t="shared" si="0"/>
        <v/>
      </c>
      <c r="AA5" s="6"/>
      <c r="AB5" s="6"/>
      <c r="AC5" s="6"/>
    </row>
    <row r="6" spans="1:29" x14ac:dyDescent="0.3">
      <c r="A6" s="2" t="s">
        <v>29</v>
      </c>
      <c r="B6" s="3" t="s">
        <v>77</v>
      </c>
      <c r="C6" s="3" t="s">
        <v>31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72</v>
      </c>
      <c r="I6" s="4" t="s">
        <v>37</v>
      </c>
      <c r="J6" s="3" t="s">
        <v>38</v>
      </c>
      <c r="K6" s="5">
        <v>118736076.42</v>
      </c>
      <c r="L6" s="3"/>
      <c r="M6" s="3" t="s">
        <v>82</v>
      </c>
      <c r="N6" s="3" t="s">
        <v>83</v>
      </c>
      <c r="O6" s="3" t="s">
        <v>84</v>
      </c>
      <c r="P6" s="3"/>
      <c r="Q6" s="3" t="s">
        <v>85</v>
      </c>
      <c r="R6" s="3" t="s">
        <v>44</v>
      </c>
      <c r="S6" s="3" t="s">
        <v>45</v>
      </c>
      <c r="T6" s="3" t="s">
        <v>46</v>
      </c>
      <c r="U6" s="6"/>
      <c r="V6" s="6"/>
      <c r="W6" s="6"/>
      <c r="X6" s="6"/>
      <c r="Y6" s="7"/>
      <c r="Z6" s="8" t="str">
        <f t="shared" si="0"/>
        <v/>
      </c>
      <c r="AA6" s="6"/>
      <c r="AB6" s="6"/>
      <c r="AC6" s="6"/>
    </row>
    <row r="7" spans="1:29" x14ac:dyDescent="0.3">
      <c r="A7" s="2" t="s">
        <v>29</v>
      </c>
      <c r="B7" s="3" t="s">
        <v>86</v>
      </c>
      <c r="C7" s="3" t="s">
        <v>87</v>
      </c>
      <c r="D7" s="3" t="s">
        <v>68</v>
      </c>
      <c r="E7" s="3" t="s">
        <v>69</v>
      </c>
      <c r="F7" s="3" t="s">
        <v>88</v>
      </c>
      <c r="G7" s="3" t="s">
        <v>89</v>
      </c>
      <c r="H7" s="3" t="s">
        <v>72</v>
      </c>
      <c r="I7" s="4" t="s">
        <v>37</v>
      </c>
      <c r="J7" s="3" t="s">
        <v>38</v>
      </c>
      <c r="K7" s="5">
        <v>310000000</v>
      </c>
      <c r="L7" s="3"/>
      <c r="M7" s="3"/>
      <c r="N7" s="3" t="s">
        <v>90</v>
      </c>
      <c r="O7" s="3" t="s">
        <v>91</v>
      </c>
      <c r="P7" s="3" t="s">
        <v>92</v>
      </c>
      <c r="Q7" s="3" t="s">
        <v>93</v>
      </c>
      <c r="R7" s="3" t="s">
        <v>44</v>
      </c>
      <c r="S7" s="3" t="s">
        <v>45</v>
      </c>
      <c r="T7" s="3" t="s">
        <v>46</v>
      </c>
      <c r="U7" s="6"/>
      <c r="V7" s="6"/>
      <c r="W7" s="6"/>
      <c r="X7" s="6"/>
      <c r="Y7" s="7"/>
      <c r="Z7" s="8" t="str">
        <f t="shared" si="0"/>
        <v/>
      </c>
      <c r="AA7" s="6"/>
      <c r="AB7" s="6"/>
      <c r="AC7" s="6" t="s">
        <v>94</v>
      </c>
    </row>
    <row r="8" spans="1:29" x14ac:dyDescent="0.3">
      <c r="A8" s="2" t="s">
        <v>95</v>
      </c>
      <c r="B8" s="3" t="s">
        <v>96</v>
      </c>
      <c r="C8" s="3" t="s">
        <v>97</v>
      </c>
      <c r="D8" s="3" t="s">
        <v>50</v>
      </c>
      <c r="E8" s="3" t="s">
        <v>58</v>
      </c>
      <c r="F8" s="3" t="s">
        <v>98</v>
      </c>
      <c r="G8" s="3" t="s">
        <v>99</v>
      </c>
      <c r="H8" s="3" t="s">
        <v>72</v>
      </c>
      <c r="I8" s="4" t="s">
        <v>37</v>
      </c>
      <c r="J8" s="3" t="s">
        <v>100</v>
      </c>
      <c r="K8" s="5">
        <v>2117963.09</v>
      </c>
      <c r="L8" s="3"/>
      <c r="M8" s="3" t="s">
        <v>101</v>
      </c>
      <c r="N8" s="3" t="s">
        <v>102</v>
      </c>
      <c r="O8" s="3" t="s">
        <v>103</v>
      </c>
      <c r="P8" s="3" t="s">
        <v>104</v>
      </c>
      <c r="Q8" s="3"/>
      <c r="R8" s="3" t="s">
        <v>105</v>
      </c>
      <c r="S8" s="3" t="s">
        <v>106</v>
      </c>
      <c r="T8" s="3" t="s">
        <v>107</v>
      </c>
      <c r="U8" s="6"/>
      <c r="V8" s="6"/>
      <c r="W8" s="6"/>
      <c r="X8" s="6"/>
      <c r="Y8" s="7"/>
      <c r="Z8" s="8" t="str">
        <f t="shared" si="0"/>
        <v/>
      </c>
      <c r="AA8" s="6"/>
      <c r="AB8" s="6"/>
      <c r="AC8" s="6" t="s">
        <v>108</v>
      </c>
    </row>
    <row r="9" spans="1:29" x14ac:dyDescent="0.3">
      <c r="A9" s="2" t="s">
        <v>95</v>
      </c>
      <c r="B9" s="3" t="s">
        <v>109</v>
      </c>
      <c r="C9" s="3" t="s">
        <v>97</v>
      </c>
      <c r="D9" s="3" t="s">
        <v>68</v>
      </c>
      <c r="E9" s="3" t="s">
        <v>69</v>
      </c>
      <c r="F9" s="3" t="s">
        <v>110</v>
      </c>
      <c r="G9" s="3" t="s">
        <v>111</v>
      </c>
      <c r="H9" s="3" t="s">
        <v>112</v>
      </c>
      <c r="I9" s="4" t="s">
        <v>37</v>
      </c>
      <c r="J9" s="3" t="s">
        <v>100</v>
      </c>
      <c r="K9" s="5">
        <v>9827342.3200000003</v>
      </c>
      <c r="L9" s="3"/>
      <c r="M9" s="3" t="s">
        <v>113</v>
      </c>
      <c r="N9" s="3" t="s">
        <v>114</v>
      </c>
      <c r="O9" s="3" t="s">
        <v>115</v>
      </c>
      <c r="P9" s="3" t="s">
        <v>116</v>
      </c>
      <c r="Q9" s="3" t="s">
        <v>117</v>
      </c>
      <c r="R9" s="3" t="s">
        <v>105</v>
      </c>
      <c r="S9" s="3" t="s">
        <v>106</v>
      </c>
      <c r="T9" s="3" t="s">
        <v>107</v>
      </c>
      <c r="U9" s="6"/>
      <c r="V9" s="6"/>
      <c r="W9" s="6"/>
      <c r="X9" s="6"/>
      <c r="Y9" s="7"/>
      <c r="Z9" s="8" t="str">
        <f t="shared" si="0"/>
        <v/>
      </c>
      <c r="AA9" s="6"/>
      <c r="AB9" s="6"/>
      <c r="AC9" s="6" t="s">
        <v>118</v>
      </c>
    </row>
    <row r="10" spans="1:29" x14ac:dyDescent="0.3">
      <c r="A10" s="2" t="s">
        <v>95</v>
      </c>
      <c r="B10" s="3" t="s">
        <v>119</v>
      </c>
      <c r="C10" s="3" t="s">
        <v>97</v>
      </c>
      <c r="D10" s="3" t="s">
        <v>120</v>
      </c>
      <c r="E10" s="3" t="s">
        <v>121</v>
      </c>
      <c r="F10" s="3" t="s">
        <v>122</v>
      </c>
      <c r="G10" s="3" t="s">
        <v>123</v>
      </c>
      <c r="H10" s="3" t="s">
        <v>112</v>
      </c>
      <c r="I10" s="4" t="s">
        <v>37</v>
      </c>
      <c r="J10" s="3" t="s">
        <v>100</v>
      </c>
      <c r="K10" s="5">
        <v>16432954.970000001</v>
      </c>
      <c r="L10" s="3"/>
      <c r="M10" s="3" t="s">
        <v>124</v>
      </c>
      <c r="N10" s="3" t="s">
        <v>125</v>
      </c>
      <c r="O10" s="3" t="s">
        <v>126</v>
      </c>
      <c r="P10" s="3"/>
      <c r="Q10" s="3" t="s">
        <v>127</v>
      </c>
      <c r="R10" s="3" t="s">
        <v>105</v>
      </c>
      <c r="S10" s="3" t="s">
        <v>106</v>
      </c>
      <c r="T10" s="3" t="s">
        <v>107</v>
      </c>
      <c r="U10" s="6"/>
      <c r="V10" s="6"/>
      <c r="W10" s="6"/>
      <c r="X10" s="6"/>
      <c r="Y10" s="7"/>
      <c r="Z10" s="8" t="str">
        <f t="shared" si="0"/>
        <v/>
      </c>
      <c r="AA10" s="6"/>
      <c r="AB10" s="6"/>
      <c r="AC10" s="6"/>
    </row>
    <row r="11" spans="1:29" x14ac:dyDescent="0.3">
      <c r="A11" s="2" t="s">
        <v>95</v>
      </c>
      <c r="B11" s="3" t="s">
        <v>128</v>
      </c>
      <c r="C11" s="3" t="s">
        <v>97</v>
      </c>
      <c r="D11" s="3" t="s">
        <v>68</v>
      </c>
      <c r="E11" s="3" t="s">
        <v>69</v>
      </c>
      <c r="F11" s="3" t="s">
        <v>129</v>
      </c>
      <c r="G11" s="3" t="s">
        <v>130</v>
      </c>
      <c r="H11" s="3" t="s">
        <v>72</v>
      </c>
      <c r="I11" s="4" t="s">
        <v>37</v>
      </c>
      <c r="J11" s="3" t="s">
        <v>100</v>
      </c>
      <c r="K11" s="5">
        <v>20063943.699999999</v>
      </c>
      <c r="L11" s="3"/>
      <c r="M11" s="3" t="s">
        <v>131</v>
      </c>
      <c r="N11" s="3" t="s">
        <v>132</v>
      </c>
      <c r="O11" s="3" t="s">
        <v>133</v>
      </c>
      <c r="P11" s="3"/>
      <c r="Q11" s="3" t="s">
        <v>134</v>
      </c>
      <c r="R11" s="3" t="s">
        <v>105</v>
      </c>
      <c r="S11" s="3" t="s">
        <v>106</v>
      </c>
      <c r="T11" s="3" t="s">
        <v>107</v>
      </c>
      <c r="U11" s="6"/>
      <c r="V11" s="6"/>
      <c r="W11" s="6"/>
      <c r="X11" s="6"/>
      <c r="Y11" s="7"/>
      <c r="Z11" s="8" t="str">
        <f t="shared" si="0"/>
        <v/>
      </c>
      <c r="AA11" s="6"/>
      <c r="AB11" s="6"/>
      <c r="AC11" s="6"/>
    </row>
    <row r="12" spans="1:29" x14ac:dyDescent="0.3">
      <c r="A12" s="2" t="s">
        <v>95</v>
      </c>
      <c r="B12" s="3" t="s">
        <v>135</v>
      </c>
      <c r="C12" s="3" t="s">
        <v>97</v>
      </c>
      <c r="D12" s="3" t="s">
        <v>50</v>
      </c>
      <c r="E12" s="3" t="s">
        <v>58</v>
      </c>
      <c r="F12" s="3" t="s">
        <v>136</v>
      </c>
      <c r="G12" s="3" t="s">
        <v>137</v>
      </c>
      <c r="H12" s="3" t="s">
        <v>36</v>
      </c>
      <c r="I12" s="4" t="s">
        <v>37</v>
      </c>
      <c r="J12" s="3" t="s">
        <v>100</v>
      </c>
      <c r="K12" s="5">
        <v>21983750.530000001</v>
      </c>
      <c r="L12" s="3"/>
      <c r="M12" s="3" t="s">
        <v>138</v>
      </c>
      <c r="N12" s="3" t="s">
        <v>139</v>
      </c>
      <c r="O12" s="3" t="s">
        <v>140</v>
      </c>
      <c r="P12" s="3"/>
      <c r="Q12" s="3" t="s">
        <v>141</v>
      </c>
      <c r="R12" s="3" t="s">
        <v>105</v>
      </c>
      <c r="S12" s="3" t="s">
        <v>106</v>
      </c>
      <c r="T12" s="3" t="s">
        <v>107</v>
      </c>
      <c r="U12" s="6"/>
      <c r="V12" s="6"/>
      <c r="W12" s="6"/>
      <c r="X12" s="6"/>
      <c r="Y12" s="7"/>
      <c r="Z12" s="8" t="str">
        <f t="shared" si="0"/>
        <v/>
      </c>
      <c r="AA12" s="6"/>
      <c r="AB12" s="6"/>
      <c r="AC12" s="6"/>
    </row>
    <row r="13" spans="1:29" x14ac:dyDescent="0.3">
      <c r="A13" s="2" t="s">
        <v>95</v>
      </c>
      <c r="B13" s="3" t="s">
        <v>142</v>
      </c>
      <c r="C13" s="3" t="s">
        <v>97</v>
      </c>
      <c r="D13" s="3" t="s">
        <v>68</v>
      </c>
      <c r="E13" s="3" t="s">
        <v>69</v>
      </c>
      <c r="F13" s="3" t="s">
        <v>143</v>
      </c>
      <c r="G13" s="3" t="s">
        <v>144</v>
      </c>
      <c r="H13" s="3" t="s">
        <v>72</v>
      </c>
      <c r="I13" s="4" t="s">
        <v>37</v>
      </c>
      <c r="J13" s="3" t="s">
        <v>100</v>
      </c>
      <c r="K13" s="5">
        <v>45519071.579999998</v>
      </c>
      <c r="L13" s="9" t="s">
        <v>37</v>
      </c>
      <c r="M13" s="3" t="s">
        <v>145</v>
      </c>
      <c r="N13" s="3" t="s">
        <v>146</v>
      </c>
      <c r="O13" s="3" t="s">
        <v>147</v>
      </c>
      <c r="P13" s="3" t="s">
        <v>148</v>
      </c>
      <c r="Q13" s="3" t="s">
        <v>149</v>
      </c>
      <c r="R13" s="3" t="s">
        <v>105</v>
      </c>
      <c r="S13" s="3" t="s">
        <v>106</v>
      </c>
      <c r="T13" s="3" t="s">
        <v>107</v>
      </c>
      <c r="U13" s="6"/>
      <c r="V13" s="6"/>
      <c r="W13" s="6"/>
      <c r="X13" s="6"/>
      <c r="Y13" s="7"/>
      <c r="Z13" s="8" t="str">
        <f t="shared" si="0"/>
        <v/>
      </c>
      <c r="AA13" s="6"/>
      <c r="AB13" s="6"/>
      <c r="AC13" s="6" t="s">
        <v>150</v>
      </c>
    </row>
    <row r="14" spans="1:29" x14ac:dyDescent="0.3">
      <c r="A14" s="2" t="s">
        <v>95</v>
      </c>
      <c r="B14" s="3" t="s">
        <v>151</v>
      </c>
      <c r="C14" s="3" t="s">
        <v>97</v>
      </c>
      <c r="D14" s="3" t="s">
        <v>120</v>
      </c>
      <c r="E14" s="3" t="s">
        <v>121</v>
      </c>
      <c r="F14" s="3" t="s">
        <v>152</v>
      </c>
      <c r="G14" s="3" t="s">
        <v>153</v>
      </c>
      <c r="H14" s="3" t="s">
        <v>72</v>
      </c>
      <c r="I14" s="4" t="s">
        <v>37</v>
      </c>
      <c r="J14" s="3" t="s">
        <v>100</v>
      </c>
      <c r="K14" s="5">
        <v>58710307.07</v>
      </c>
      <c r="L14" s="3"/>
      <c r="M14" s="3" t="s">
        <v>124</v>
      </c>
      <c r="N14" s="3" t="s">
        <v>154</v>
      </c>
      <c r="O14" s="3" t="s">
        <v>155</v>
      </c>
      <c r="P14" s="3"/>
      <c r="Q14" s="3" t="s">
        <v>156</v>
      </c>
      <c r="R14" s="3" t="s">
        <v>105</v>
      </c>
      <c r="S14" s="3" t="s">
        <v>106</v>
      </c>
      <c r="T14" s="3" t="s">
        <v>107</v>
      </c>
      <c r="U14" s="6"/>
      <c r="V14" s="6"/>
      <c r="W14" s="6"/>
      <c r="X14" s="6"/>
      <c r="Y14" s="7"/>
      <c r="Z14" s="8" t="str">
        <f t="shared" si="0"/>
        <v/>
      </c>
      <c r="AA14" s="6"/>
      <c r="AB14" s="6"/>
      <c r="AC14" s="6"/>
    </row>
    <row r="15" spans="1:29" x14ac:dyDescent="0.3">
      <c r="A15" s="2" t="s">
        <v>95</v>
      </c>
      <c r="B15" s="3" t="s">
        <v>157</v>
      </c>
      <c r="C15" s="3" t="s">
        <v>97</v>
      </c>
      <c r="D15" s="3" t="s">
        <v>68</v>
      </c>
      <c r="E15" s="3" t="s">
        <v>69</v>
      </c>
      <c r="F15" s="3" t="s">
        <v>158</v>
      </c>
      <c r="G15" s="3" t="s">
        <v>159</v>
      </c>
      <c r="H15" s="3" t="s">
        <v>36</v>
      </c>
      <c r="I15" s="4" t="s">
        <v>37</v>
      </c>
      <c r="J15" s="3" t="s">
        <v>100</v>
      </c>
      <c r="K15" s="5">
        <v>133653144.25</v>
      </c>
      <c r="L15" s="3"/>
      <c r="M15" s="3" t="s">
        <v>160</v>
      </c>
      <c r="N15" s="3" t="s">
        <v>161</v>
      </c>
      <c r="O15" s="3" t="s">
        <v>162</v>
      </c>
      <c r="P15" s="3" t="s">
        <v>163</v>
      </c>
      <c r="Q15" s="3"/>
      <c r="R15" s="3" t="s">
        <v>105</v>
      </c>
      <c r="S15" s="3" t="s">
        <v>106</v>
      </c>
      <c r="T15" s="3" t="s">
        <v>107</v>
      </c>
      <c r="U15" s="6"/>
      <c r="V15" s="6"/>
      <c r="W15" s="6"/>
      <c r="X15" s="6"/>
      <c r="Y15" s="7"/>
      <c r="Z15" s="8" t="str">
        <f t="shared" si="0"/>
        <v/>
      </c>
      <c r="AA15" s="6"/>
      <c r="AB15" s="6"/>
      <c r="AC15" s="6" t="s">
        <v>164</v>
      </c>
    </row>
    <row r="16" spans="1:29" x14ac:dyDescent="0.3">
      <c r="A16" s="2" t="s">
        <v>95</v>
      </c>
      <c r="B16" s="3" t="s">
        <v>165</v>
      </c>
      <c r="C16" s="3" t="s">
        <v>97</v>
      </c>
      <c r="D16" s="3" t="s">
        <v>68</v>
      </c>
      <c r="E16" s="3" t="s">
        <v>69</v>
      </c>
      <c r="F16" s="3" t="s">
        <v>166</v>
      </c>
      <c r="G16" s="3" t="s">
        <v>167</v>
      </c>
      <c r="H16" s="3" t="s">
        <v>72</v>
      </c>
      <c r="I16" s="4" t="s">
        <v>37</v>
      </c>
      <c r="J16" s="3" t="s">
        <v>100</v>
      </c>
      <c r="K16" s="5">
        <v>201587382.81</v>
      </c>
      <c r="L16" s="3"/>
      <c r="M16" s="3" t="s">
        <v>160</v>
      </c>
      <c r="N16" s="3" t="s">
        <v>168</v>
      </c>
      <c r="O16" s="3" t="s">
        <v>169</v>
      </c>
      <c r="P16" s="3"/>
      <c r="Q16" s="3" t="s">
        <v>170</v>
      </c>
      <c r="R16" s="3" t="s">
        <v>105</v>
      </c>
      <c r="S16" s="3" t="s">
        <v>106</v>
      </c>
      <c r="T16" s="3" t="s">
        <v>107</v>
      </c>
      <c r="U16" s="6"/>
      <c r="V16" s="6"/>
      <c r="W16" s="6"/>
      <c r="X16" s="6"/>
      <c r="Y16" s="7"/>
      <c r="Z16" s="8" t="str">
        <f t="shared" si="0"/>
        <v/>
      </c>
      <c r="AA16" s="6"/>
      <c r="AB16" s="6"/>
      <c r="AC16" s="6"/>
    </row>
    <row r="17" spans="1:29" x14ac:dyDescent="0.3">
      <c r="A17" s="2" t="s">
        <v>95</v>
      </c>
      <c r="B17" s="3" t="s">
        <v>171</v>
      </c>
      <c r="C17" s="3" t="s">
        <v>172</v>
      </c>
      <c r="D17" s="3" t="s">
        <v>68</v>
      </c>
      <c r="E17" s="3" t="s">
        <v>173</v>
      </c>
      <c r="F17" s="3" t="s">
        <v>174</v>
      </c>
      <c r="G17" s="3" t="s">
        <v>175</v>
      </c>
      <c r="H17" s="3" t="s">
        <v>36</v>
      </c>
      <c r="I17" s="4" t="s">
        <v>37</v>
      </c>
      <c r="J17" s="3" t="s">
        <v>100</v>
      </c>
      <c r="K17" s="5"/>
      <c r="L17" s="3"/>
      <c r="M17" s="3"/>
      <c r="N17" s="3" t="s">
        <v>176</v>
      </c>
      <c r="O17" s="3" t="s">
        <v>177</v>
      </c>
      <c r="P17" s="3" t="s">
        <v>178</v>
      </c>
      <c r="Q17" s="3" t="s">
        <v>179</v>
      </c>
      <c r="R17" s="3" t="s">
        <v>105</v>
      </c>
      <c r="S17" s="3" t="s">
        <v>106</v>
      </c>
      <c r="T17" s="3" t="s">
        <v>107</v>
      </c>
      <c r="U17" s="6"/>
      <c r="V17" s="6"/>
      <c r="W17" s="6"/>
      <c r="X17" s="6"/>
      <c r="Y17" s="7"/>
      <c r="Z17" s="8" t="str">
        <f t="shared" si="0"/>
        <v/>
      </c>
      <c r="AA17" s="6"/>
      <c r="AB17" s="6"/>
      <c r="AC17" s="6" t="s">
        <v>180</v>
      </c>
    </row>
    <row r="18" spans="1:29" x14ac:dyDescent="0.3">
      <c r="A18" s="2" t="s">
        <v>95</v>
      </c>
      <c r="B18" s="3" t="s">
        <v>181</v>
      </c>
      <c r="C18" s="3" t="s">
        <v>172</v>
      </c>
      <c r="D18" s="3" t="s">
        <v>68</v>
      </c>
      <c r="E18" s="3" t="s">
        <v>69</v>
      </c>
      <c r="F18" s="3" t="s">
        <v>182</v>
      </c>
      <c r="G18" s="3" t="s">
        <v>183</v>
      </c>
      <c r="H18" s="3" t="s">
        <v>184</v>
      </c>
      <c r="I18" s="4" t="s">
        <v>37</v>
      </c>
      <c r="J18" s="3" t="s">
        <v>100</v>
      </c>
      <c r="K18" s="5"/>
      <c r="L18" s="3"/>
      <c r="M18" s="3"/>
      <c r="N18" s="3" t="s">
        <v>185</v>
      </c>
      <c r="O18" s="3" t="s">
        <v>186</v>
      </c>
      <c r="P18" s="3"/>
      <c r="Q18" s="3" t="s">
        <v>187</v>
      </c>
      <c r="R18" s="3" t="s">
        <v>105</v>
      </c>
      <c r="S18" s="3" t="s">
        <v>106</v>
      </c>
      <c r="T18" s="3" t="s">
        <v>107</v>
      </c>
      <c r="U18" s="6"/>
      <c r="V18" s="6"/>
      <c r="W18" s="6"/>
      <c r="X18" s="6"/>
      <c r="Y18" s="7"/>
      <c r="Z18" s="8" t="str">
        <f t="shared" si="0"/>
        <v/>
      </c>
      <c r="AA18" s="6"/>
      <c r="AB18" s="6"/>
      <c r="AC18" s="6" t="s">
        <v>188</v>
      </c>
    </row>
    <row r="19" spans="1:29" x14ac:dyDescent="0.3">
      <c r="A19" s="2" t="s">
        <v>189</v>
      </c>
      <c r="B19" s="3" t="s">
        <v>190</v>
      </c>
      <c r="C19" s="3" t="s">
        <v>191</v>
      </c>
      <c r="D19" s="3" t="s">
        <v>78</v>
      </c>
      <c r="E19" s="3" t="s">
        <v>79</v>
      </c>
      <c r="F19" s="3" t="s">
        <v>192</v>
      </c>
      <c r="G19" s="3" t="s">
        <v>193</v>
      </c>
      <c r="H19" s="3" t="s">
        <v>112</v>
      </c>
      <c r="I19" s="4" t="s">
        <v>37</v>
      </c>
      <c r="J19" s="3" t="s">
        <v>194</v>
      </c>
      <c r="K19" s="5">
        <v>758266.8</v>
      </c>
      <c r="L19" s="3"/>
      <c r="M19" s="3" t="s">
        <v>195</v>
      </c>
      <c r="N19" s="3" t="s">
        <v>196</v>
      </c>
      <c r="O19" s="3" t="s">
        <v>197</v>
      </c>
      <c r="P19" s="3"/>
      <c r="Q19" s="3" t="s">
        <v>198</v>
      </c>
      <c r="R19" s="3" t="s">
        <v>199</v>
      </c>
      <c r="S19" s="3" t="s">
        <v>200</v>
      </c>
      <c r="T19" s="3" t="s">
        <v>107</v>
      </c>
      <c r="U19" s="6"/>
      <c r="V19" s="6"/>
      <c r="W19" s="6"/>
      <c r="X19" s="6"/>
      <c r="Y19" s="7"/>
      <c r="Z19" s="8" t="str">
        <f t="shared" si="0"/>
        <v/>
      </c>
      <c r="AA19" s="6"/>
      <c r="AB19" s="6"/>
      <c r="AC19" s="6"/>
    </row>
    <row r="20" spans="1:29" x14ac:dyDescent="0.3">
      <c r="A20" s="2" t="s">
        <v>189</v>
      </c>
      <c r="B20" s="3" t="s">
        <v>201</v>
      </c>
      <c r="C20" s="3" t="s">
        <v>191</v>
      </c>
      <c r="D20" s="3" t="s">
        <v>120</v>
      </c>
      <c r="E20" s="3" t="s">
        <v>121</v>
      </c>
      <c r="F20" s="3" t="s">
        <v>202</v>
      </c>
      <c r="G20" s="3" t="s">
        <v>203</v>
      </c>
      <c r="H20" s="3" t="s">
        <v>112</v>
      </c>
      <c r="I20" s="4" t="s">
        <v>37</v>
      </c>
      <c r="J20" s="3" t="s">
        <v>194</v>
      </c>
      <c r="K20" s="5">
        <v>969463.78</v>
      </c>
      <c r="L20" s="3"/>
      <c r="M20" s="3" t="s">
        <v>204</v>
      </c>
      <c r="N20" s="3" t="s">
        <v>205</v>
      </c>
      <c r="O20" s="3" t="s">
        <v>206</v>
      </c>
      <c r="P20" s="3"/>
      <c r="Q20" s="3" t="s">
        <v>207</v>
      </c>
      <c r="R20" s="3" t="s">
        <v>199</v>
      </c>
      <c r="S20" s="3" t="s">
        <v>200</v>
      </c>
      <c r="T20" s="3" t="s">
        <v>107</v>
      </c>
      <c r="U20" s="6"/>
      <c r="V20" s="6"/>
      <c r="W20" s="6"/>
      <c r="X20" s="6"/>
      <c r="Y20" s="7"/>
      <c r="Z20" s="8" t="str">
        <f t="shared" si="0"/>
        <v/>
      </c>
      <c r="AA20" s="6"/>
      <c r="AB20" s="6"/>
      <c r="AC20" s="6"/>
    </row>
    <row r="21" spans="1:29" x14ac:dyDescent="0.3">
      <c r="A21" s="2" t="s">
        <v>189</v>
      </c>
      <c r="B21" s="3" t="s">
        <v>208</v>
      </c>
      <c r="C21" s="3" t="s">
        <v>191</v>
      </c>
      <c r="D21" s="3" t="s">
        <v>78</v>
      </c>
      <c r="E21" s="3" t="s">
        <v>79</v>
      </c>
      <c r="F21" s="3" t="s">
        <v>209</v>
      </c>
      <c r="G21" s="3" t="s">
        <v>210</v>
      </c>
      <c r="H21" s="3" t="s">
        <v>112</v>
      </c>
      <c r="I21" s="4" t="s">
        <v>37</v>
      </c>
      <c r="J21" s="3" t="s">
        <v>194</v>
      </c>
      <c r="K21" s="5">
        <v>2250685.08</v>
      </c>
      <c r="L21" s="3"/>
      <c r="M21" s="3" t="s">
        <v>211</v>
      </c>
      <c r="N21" s="3" t="s">
        <v>212</v>
      </c>
      <c r="O21" s="3" t="s">
        <v>213</v>
      </c>
      <c r="P21" s="3"/>
      <c r="Q21" s="3" t="s">
        <v>214</v>
      </c>
      <c r="R21" s="3" t="s">
        <v>199</v>
      </c>
      <c r="S21" s="3" t="s">
        <v>200</v>
      </c>
      <c r="T21" s="3" t="s">
        <v>107</v>
      </c>
      <c r="U21" s="6"/>
      <c r="V21" s="6"/>
      <c r="W21" s="6"/>
      <c r="X21" s="6"/>
      <c r="Y21" s="7"/>
      <c r="Z21" s="8" t="str">
        <f t="shared" si="0"/>
        <v/>
      </c>
      <c r="AA21" s="6"/>
      <c r="AB21" s="6"/>
      <c r="AC21" s="6"/>
    </row>
    <row r="22" spans="1:29" x14ac:dyDescent="0.3">
      <c r="A22" s="2" t="s">
        <v>189</v>
      </c>
      <c r="B22" s="3" t="s">
        <v>215</v>
      </c>
      <c r="C22" s="3" t="s">
        <v>191</v>
      </c>
      <c r="D22" s="3" t="s">
        <v>216</v>
      </c>
      <c r="E22" s="3" t="s">
        <v>217</v>
      </c>
      <c r="F22" s="3" t="s">
        <v>218</v>
      </c>
      <c r="G22" s="3" t="s">
        <v>219</v>
      </c>
      <c r="H22" s="3" t="s">
        <v>184</v>
      </c>
      <c r="I22" s="4" t="s">
        <v>37</v>
      </c>
      <c r="J22" s="3" t="s">
        <v>194</v>
      </c>
      <c r="K22" s="5">
        <v>2534246.63</v>
      </c>
      <c r="L22" s="3"/>
      <c r="M22" s="3" t="s">
        <v>145</v>
      </c>
      <c r="N22" s="3" t="s">
        <v>220</v>
      </c>
      <c r="O22" s="3" t="s">
        <v>221</v>
      </c>
      <c r="P22" s="3" t="s">
        <v>222</v>
      </c>
      <c r="Q22" s="3" t="s">
        <v>223</v>
      </c>
      <c r="R22" s="3" t="s">
        <v>199</v>
      </c>
      <c r="S22" s="3" t="s">
        <v>200</v>
      </c>
      <c r="T22" s="3" t="s">
        <v>107</v>
      </c>
      <c r="U22" s="6"/>
      <c r="V22" s="6"/>
      <c r="W22" s="6"/>
      <c r="X22" s="6"/>
      <c r="Y22" s="7"/>
      <c r="Z22" s="8" t="str">
        <f t="shared" si="0"/>
        <v/>
      </c>
      <c r="AA22" s="6"/>
      <c r="AB22" s="6"/>
      <c r="AC22" s="6" t="s">
        <v>224</v>
      </c>
    </row>
    <row r="23" spans="1:29" x14ac:dyDescent="0.3">
      <c r="A23" s="2" t="s">
        <v>189</v>
      </c>
      <c r="B23" s="3" t="s">
        <v>225</v>
      </c>
      <c r="C23" s="3" t="s">
        <v>191</v>
      </c>
      <c r="D23" s="3" t="s">
        <v>50</v>
      </c>
      <c r="E23" s="3" t="s">
        <v>58</v>
      </c>
      <c r="F23" s="3" t="s">
        <v>226</v>
      </c>
      <c r="G23" s="3" t="s">
        <v>227</v>
      </c>
      <c r="H23" s="3" t="s">
        <v>112</v>
      </c>
      <c r="I23" s="4" t="s">
        <v>37</v>
      </c>
      <c r="J23" s="3" t="s">
        <v>194</v>
      </c>
      <c r="K23" s="5">
        <v>3119089.65</v>
      </c>
      <c r="L23" s="3"/>
      <c r="M23" s="3" t="s">
        <v>228</v>
      </c>
      <c r="N23" s="3" t="s">
        <v>229</v>
      </c>
      <c r="O23" s="3" t="s">
        <v>230</v>
      </c>
      <c r="P23" s="3"/>
      <c r="Q23" s="3"/>
      <c r="R23" s="3" t="s">
        <v>199</v>
      </c>
      <c r="S23" s="3" t="s">
        <v>200</v>
      </c>
      <c r="T23" s="3" t="s">
        <v>107</v>
      </c>
      <c r="U23" s="6"/>
      <c r="V23" s="6"/>
      <c r="W23" s="6"/>
      <c r="X23" s="6"/>
      <c r="Y23" s="7"/>
      <c r="Z23" s="8" t="str">
        <f t="shared" si="0"/>
        <v/>
      </c>
      <c r="AA23" s="6"/>
      <c r="AB23" s="6"/>
      <c r="AC23" s="6"/>
    </row>
    <row r="24" spans="1:29" x14ac:dyDescent="0.3">
      <c r="A24" s="2" t="s">
        <v>189</v>
      </c>
      <c r="B24" s="3" t="s">
        <v>231</v>
      </c>
      <c r="C24" s="3" t="s">
        <v>191</v>
      </c>
      <c r="D24" s="3" t="s">
        <v>68</v>
      </c>
      <c r="E24" s="3" t="s">
        <v>69</v>
      </c>
      <c r="F24" s="3" t="s">
        <v>232</v>
      </c>
      <c r="G24" s="3" t="s">
        <v>233</v>
      </c>
      <c r="H24" s="3" t="s">
        <v>184</v>
      </c>
      <c r="I24" s="4" t="s">
        <v>37</v>
      </c>
      <c r="J24" s="3" t="s">
        <v>194</v>
      </c>
      <c r="K24" s="5">
        <v>3465875.82</v>
      </c>
      <c r="L24" s="3"/>
      <c r="M24" s="3" t="s">
        <v>160</v>
      </c>
      <c r="N24" s="3" t="s">
        <v>234</v>
      </c>
      <c r="O24" s="3" t="s">
        <v>235</v>
      </c>
      <c r="P24" s="3" t="s">
        <v>236</v>
      </c>
      <c r="Q24" s="3"/>
      <c r="R24" s="3" t="s">
        <v>199</v>
      </c>
      <c r="S24" s="3" t="s">
        <v>200</v>
      </c>
      <c r="T24" s="3" t="s">
        <v>107</v>
      </c>
      <c r="U24" s="6"/>
      <c r="V24" s="6"/>
      <c r="W24" s="6"/>
      <c r="X24" s="6"/>
      <c r="Y24" s="7"/>
      <c r="Z24" s="8" t="str">
        <f t="shared" si="0"/>
        <v/>
      </c>
      <c r="AA24" s="6"/>
      <c r="AB24" s="6"/>
      <c r="AC24" s="6" t="s">
        <v>237</v>
      </c>
    </row>
    <row r="25" spans="1:29" x14ac:dyDescent="0.3">
      <c r="A25" s="2" t="s">
        <v>189</v>
      </c>
      <c r="B25" s="3" t="s">
        <v>238</v>
      </c>
      <c r="C25" s="3" t="s">
        <v>191</v>
      </c>
      <c r="D25" s="3" t="s">
        <v>50</v>
      </c>
      <c r="E25" s="3" t="s">
        <v>58</v>
      </c>
      <c r="F25" s="3" t="s">
        <v>239</v>
      </c>
      <c r="G25" s="3" t="s">
        <v>240</v>
      </c>
      <c r="H25" s="3" t="s">
        <v>112</v>
      </c>
      <c r="I25" s="4" t="s">
        <v>37</v>
      </c>
      <c r="J25" s="3" t="s">
        <v>194</v>
      </c>
      <c r="K25" s="5">
        <v>3620789.76</v>
      </c>
      <c r="L25" s="3"/>
      <c r="M25" s="3" t="s">
        <v>241</v>
      </c>
      <c r="N25" s="3" t="s">
        <v>242</v>
      </c>
      <c r="O25" s="3" t="s">
        <v>243</v>
      </c>
      <c r="P25" s="3"/>
      <c r="Q25" s="3"/>
      <c r="R25" s="3" t="s">
        <v>199</v>
      </c>
      <c r="S25" s="3" t="s">
        <v>200</v>
      </c>
      <c r="T25" s="3" t="s">
        <v>107</v>
      </c>
      <c r="U25" s="6"/>
      <c r="V25" s="6"/>
      <c r="W25" s="6"/>
      <c r="X25" s="6"/>
      <c r="Y25" s="7"/>
      <c r="Z25" s="8" t="str">
        <f t="shared" si="0"/>
        <v/>
      </c>
      <c r="AA25" s="6"/>
      <c r="AB25" s="6"/>
      <c r="AC25" s="6"/>
    </row>
    <row r="26" spans="1:29" x14ac:dyDescent="0.3">
      <c r="A26" s="2" t="s">
        <v>189</v>
      </c>
      <c r="B26" s="3" t="s">
        <v>244</v>
      </c>
      <c r="C26" s="3" t="s">
        <v>191</v>
      </c>
      <c r="D26" s="3" t="s">
        <v>68</v>
      </c>
      <c r="E26" s="3" t="s">
        <v>69</v>
      </c>
      <c r="F26" s="3" t="s">
        <v>245</v>
      </c>
      <c r="G26" s="3" t="s">
        <v>246</v>
      </c>
      <c r="H26" s="3" t="s">
        <v>112</v>
      </c>
      <c r="I26" s="4" t="s">
        <v>37</v>
      </c>
      <c r="J26" s="3" t="s">
        <v>194</v>
      </c>
      <c r="K26" s="5">
        <v>4633259.43</v>
      </c>
      <c r="L26" s="3"/>
      <c r="M26" s="3" t="s">
        <v>138</v>
      </c>
      <c r="N26" s="3" t="s">
        <v>247</v>
      </c>
      <c r="O26" s="3" t="s">
        <v>248</v>
      </c>
      <c r="P26" s="3"/>
      <c r="Q26" s="3"/>
      <c r="R26" s="3" t="s">
        <v>199</v>
      </c>
      <c r="S26" s="3" t="s">
        <v>200</v>
      </c>
      <c r="T26" s="3" t="s">
        <v>107</v>
      </c>
      <c r="U26" s="6"/>
      <c r="V26" s="6"/>
      <c r="W26" s="6"/>
      <c r="X26" s="6"/>
      <c r="Y26" s="7"/>
      <c r="Z26" s="8" t="str">
        <f t="shared" si="0"/>
        <v/>
      </c>
      <c r="AA26" s="6"/>
      <c r="AB26" s="6"/>
      <c r="AC26" s="6"/>
    </row>
    <row r="27" spans="1:29" x14ac:dyDescent="0.3">
      <c r="A27" s="2" t="s">
        <v>189</v>
      </c>
      <c r="B27" s="3" t="s">
        <v>249</v>
      </c>
      <c r="C27" s="3" t="s">
        <v>191</v>
      </c>
      <c r="D27" s="3" t="s">
        <v>68</v>
      </c>
      <c r="E27" s="3" t="s">
        <v>69</v>
      </c>
      <c r="F27" s="3" t="s">
        <v>250</v>
      </c>
      <c r="G27" s="3" t="s">
        <v>251</v>
      </c>
      <c r="H27" s="3" t="s">
        <v>112</v>
      </c>
      <c r="I27" s="4" t="s">
        <v>37</v>
      </c>
      <c r="J27" s="3" t="s">
        <v>194</v>
      </c>
      <c r="K27" s="5">
        <v>7395806.0199999996</v>
      </c>
      <c r="L27" s="9" t="s">
        <v>37</v>
      </c>
      <c r="M27" s="3" t="s">
        <v>252</v>
      </c>
      <c r="N27" s="3" t="s">
        <v>253</v>
      </c>
      <c r="O27" s="3" t="s">
        <v>254</v>
      </c>
      <c r="P27" s="3"/>
      <c r="Q27" s="3" t="s">
        <v>255</v>
      </c>
      <c r="R27" s="3" t="s">
        <v>199</v>
      </c>
      <c r="S27" s="3" t="s">
        <v>200</v>
      </c>
      <c r="T27" s="3" t="s">
        <v>107</v>
      </c>
      <c r="U27" s="6"/>
      <c r="V27" s="6"/>
      <c r="W27" s="6"/>
      <c r="X27" s="6"/>
      <c r="Y27" s="7"/>
      <c r="Z27" s="8" t="str">
        <f t="shared" si="0"/>
        <v/>
      </c>
      <c r="AA27" s="6"/>
      <c r="AB27" s="6"/>
      <c r="AC27" s="6"/>
    </row>
    <row r="28" spans="1:29" x14ac:dyDescent="0.3">
      <c r="A28" s="2" t="s">
        <v>189</v>
      </c>
      <c r="B28" s="3" t="s">
        <v>256</v>
      </c>
      <c r="C28" s="3" t="s">
        <v>191</v>
      </c>
      <c r="D28" s="3" t="s">
        <v>50</v>
      </c>
      <c r="E28" s="3" t="s">
        <v>58</v>
      </c>
      <c r="F28" s="3" t="s">
        <v>257</v>
      </c>
      <c r="G28" s="3" t="s">
        <v>258</v>
      </c>
      <c r="H28" s="3" t="s">
        <v>72</v>
      </c>
      <c r="I28" s="4" t="s">
        <v>37</v>
      </c>
      <c r="J28" s="3" t="s">
        <v>194</v>
      </c>
      <c r="K28" s="5">
        <v>7735221.0300000003</v>
      </c>
      <c r="L28" s="3"/>
      <c r="M28" s="3" t="s">
        <v>138</v>
      </c>
      <c r="N28" s="3" t="s">
        <v>259</v>
      </c>
      <c r="O28" s="3" t="s">
        <v>260</v>
      </c>
      <c r="P28" s="3"/>
      <c r="Q28" s="3" t="s">
        <v>261</v>
      </c>
      <c r="R28" s="3" t="s">
        <v>199</v>
      </c>
      <c r="S28" s="3" t="s">
        <v>200</v>
      </c>
      <c r="T28" s="3" t="s">
        <v>107</v>
      </c>
      <c r="U28" s="6"/>
      <c r="V28" s="6"/>
      <c r="W28" s="6"/>
      <c r="X28" s="6"/>
      <c r="Y28" s="7"/>
      <c r="Z28" s="8" t="str">
        <f t="shared" si="0"/>
        <v/>
      </c>
      <c r="AA28" s="6"/>
      <c r="AB28" s="6"/>
      <c r="AC28" s="6"/>
    </row>
    <row r="29" spans="1:29" x14ac:dyDescent="0.3">
      <c r="A29" s="2" t="s">
        <v>189</v>
      </c>
      <c r="B29" s="3" t="s">
        <v>262</v>
      </c>
      <c r="C29" s="3" t="s">
        <v>191</v>
      </c>
      <c r="D29" s="3" t="s">
        <v>263</v>
      </c>
      <c r="E29" s="3" t="s">
        <v>264</v>
      </c>
      <c r="F29" s="3" t="s">
        <v>265</v>
      </c>
      <c r="G29" s="3" t="s">
        <v>266</v>
      </c>
      <c r="H29" s="3" t="s">
        <v>184</v>
      </c>
      <c r="I29" s="4" t="s">
        <v>37</v>
      </c>
      <c r="J29" s="3" t="s">
        <v>194</v>
      </c>
      <c r="K29" s="5">
        <v>8369773.9800000004</v>
      </c>
      <c r="L29" s="3"/>
      <c r="M29" s="3" t="s">
        <v>267</v>
      </c>
      <c r="N29" s="3"/>
      <c r="O29" s="3" t="s">
        <v>268</v>
      </c>
      <c r="P29" s="3"/>
      <c r="Q29" s="3" t="s">
        <v>269</v>
      </c>
      <c r="R29" s="3" t="s">
        <v>199</v>
      </c>
      <c r="S29" s="3" t="s">
        <v>200</v>
      </c>
      <c r="T29" s="3" t="s">
        <v>107</v>
      </c>
      <c r="U29" s="6"/>
      <c r="V29" s="6"/>
      <c r="W29" s="6"/>
      <c r="X29" s="6"/>
      <c r="Y29" s="7"/>
      <c r="Z29" s="8" t="str">
        <f t="shared" si="0"/>
        <v/>
      </c>
      <c r="AA29" s="6"/>
      <c r="AB29" s="6"/>
      <c r="AC29" s="6"/>
    </row>
    <row r="30" spans="1:29" x14ac:dyDescent="0.3">
      <c r="A30" s="2" t="s">
        <v>189</v>
      </c>
      <c r="B30" s="3" t="s">
        <v>270</v>
      </c>
      <c r="C30" s="3" t="s">
        <v>271</v>
      </c>
      <c r="D30" s="3" t="s">
        <v>272</v>
      </c>
      <c r="E30" s="3" t="s">
        <v>273</v>
      </c>
      <c r="F30" s="3" t="s">
        <v>274</v>
      </c>
      <c r="G30" s="3" t="s">
        <v>275</v>
      </c>
      <c r="H30" s="3" t="s">
        <v>72</v>
      </c>
      <c r="I30" s="4" t="s">
        <v>37</v>
      </c>
      <c r="J30" s="3" t="s">
        <v>194</v>
      </c>
      <c r="K30" s="5">
        <v>8600000</v>
      </c>
      <c r="L30" s="3"/>
      <c r="M30" s="3"/>
      <c r="N30" s="3" t="s">
        <v>276</v>
      </c>
      <c r="O30" s="3" t="s">
        <v>277</v>
      </c>
      <c r="P30" s="3" t="s">
        <v>278</v>
      </c>
      <c r="Q30" s="3" t="s">
        <v>279</v>
      </c>
      <c r="R30" s="3" t="s">
        <v>199</v>
      </c>
      <c r="S30" s="3" t="s">
        <v>200</v>
      </c>
      <c r="T30" s="3" t="s">
        <v>107</v>
      </c>
      <c r="U30" s="6"/>
      <c r="V30" s="6"/>
      <c r="W30" s="6"/>
      <c r="X30" s="6"/>
      <c r="Y30" s="7"/>
      <c r="Z30" s="8" t="str">
        <f t="shared" si="0"/>
        <v/>
      </c>
      <c r="AA30" s="6"/>
      <c r="AB30" s="6"/>
      <c r="AC30" s="6" t="s">
        <v>280</v>
      </c>
    </row>
    <row r="31" spans="1:29" x14ac:dyDescent="0.3">
      <c r="A31" s="2" t="s">
        <v>189</v>
      </c>
      <c r="B31" s="3" t="s">
        <v>281</v>
      </c>
      <c r="C31" s="3" t="s">
        <v>191</v>
      </c>
      <c r="D31" s="3" t="s">
        <v>68</v>
      </c>
      <c r="E31" s="3" t="s">
        <v>69</v>
      </c>
      <c r="F31" s="3" t="s">
        <v>282</v>
      </c>
      <c r="G31" s="3" t="s">
        <v>283</v>
      </c>
      <c r="H31" s="3" t="s">
        <v>72</v>
      </c>
      <c r="I31" s="4" t="s">
        <v>37</v>
      </c>
      <c r="J31" s="3" t="s">
        <v>194</v>
      </c>
      <c r="K31" s="5">
        <v>11250528.43</v>
      </c>
      <c r="L31" s="3"/>
      <c r="M31" s="3" t="s">
        <v>160</v>
      </c>
      <c r="N31" s="3" t="s">
        <v>284</v>
      </c>
      <c r="O31" s="3" t="s">
        <v>285</v>
      </c>
      <c r="P31" s="3"/>
      <c r="Q31" s="3" t="s">
        <v>286</v>
      </c>
      <c r="R31" s="3" t="s">
        <v>199</v>
      </c>
      <c r="S31" s="3" t="s">
        <v>200</v>
      </c>
      <c r="T31" s="3" t="s">
        <v>107</v>
      </c>
      <c r="U31" s="6"/>
      <c r="V31" s="6"/>
      <c r="W31" s="6"/>
      <c r="X31" s="6"/>
      <c r="Y31" s="7"/>
      <c r="Z31" s="8" t="str">
        <f t="shared" si="0"/>
        <v/>
      </c>
      <c r="AA31" s="6"/>
      <c r="AB31" s="6"/>
      <c r="AC31" s="6"/>
    </row>
    <row r="32" spans="1:29" x14ac:dyDescent="0.3">
      <c r="A32" s="2" t="s">
        <v>189</v>
      </c>
      <c r="B32" s="3" t="s">
        <v>287</v>
      </c>
      <c r="C32" s="3" t="s">
        <v>191</v>
      </c>
      <c r="D32" s="3" t="s">
        <v>50</v>
      </c>
      <c r="E32" s="3" t="s">
        <v>58</v>
      </c>
      <c r="F32" s="3" t="s">
        <v>288</v>
      </c>
      <c r="G32" s="3" t="s">
        <v>289</v>
      </c>
      <c r="H32" s="3" t="s">
        <v>184</v>
      </c>
      <c r="I32" s="4" t="s">
        <v>37</v>
      </c>
      <c r="J32" s="3" t="s">
        <v>194</v>
      </c>
      <c r="K32" s="5">
        <v>11603299.77</v>
      </c>
      <c r="L32" s="3"/>
      <c r="M32" s="3" t="s">
        <v>290</v>
      </c>
      <c r="N32" s="3" t="s">
        <v>291</v>
      </c>
      <c r="O32" s="3" t="s">
        <v>292</v>
      </c>
      <c r="P32" s="3" t="s">
        <v>293</v>
      </c>
      <c r="Q32" s="3"/>
      <c r="R32" s="3" t="s">
        <v>199</v>
      </c>
      <c r="S32" s="3" t="s">
        <v>200</v>
      </c>
      <c r="T32" s="3" t="s">
        <v>107</v>
      </c>
      <c r="U32" s="6"/>
      <c r="V32" s="6"/>
      <c r="W32" s="6"/>
      <c r="X32" s="6"/>
      <c r="Y32" s="7"/>
      <c r="Z32" s="8" t="str">
        <f t="shared" si="0"/>
        <v/>
      </c>
      <c r="AA32" s="6"/>
      <c r="AB32" s="6"/>
      <c r="AC32" s="6" t="s">
        <v>294</v>
      </c>
    </row>
    <row r="33" spans="1:29" x14ac:dyDescent="0.3">
      <c r="A33" s="2" t="s">
        <v>189</v>
      </c>
      <c r="B33" s="3" t="s">
        <v>295</v>
      </c>
      <c r="C33" s="3" t="s">
        <v>191</v>
      </c>
      <c r="D33" s="3" t="s">
        <v>68</v>
      </c>
      <c r="E33" s="3" t="s">
        <v>69</v>
      </c>
      <c r="F33" s="3" t="s">
        <v>296</v>
      </c>
      <c r="G33" s="3" t="s">
        <v>297</v>
      </c>
      <c r="H33" s="3" t="s">
        <v>112</v>
      </c>
      <c r="I33" s="4" t="s">
        <v>37</v>
      </c>
      <c r="J33" s="3" t="s">
        <v>194</v>
      </c>
      <c r="K33" s="5">
        <v>16010658.699999999</v>
      </c>
      <c r="L33" s="3"/>
      <c r="M33" s="3" t="s">
        <v>241</v>
      </c>
      <c r="N33" s="3" t="s">
        <v>298</v>
      </c>
      <c r="O33" s="3" t="s">
        <v>299</v>
      </c>
      <c r="P33" s="3"/>
      <c r="Q33" s="3" t="s">
        <v>300</v>
      </c>
      <c r="R33" s="3" t="s">
        <v>199</v>
      </c>
      <c r="S33" s="3" t="s">
        <v>200</v>
      </c>
      <c r="T33" s="3" t="s">
        <v>107</v>
      </c>
      <c r="U33" s="6"/>
      <c r="V33" s="6"/>
      <c r="W33" s="6"/>
      <c r="X33" s="6"/>
      <c r="Y33" s="7"/>
      <c r="Z33" s="8" t="str">
        <f t="shared" si="0"/>
        <v/>
      </c>
      <c r="AA33" s="6"/>
      <c r="AB33" s="6"/>
      <c r="AC33" s="6" t="s">
        <v>301</v>
      </c>
    </row>
    <row r="34" spans="1:29" x14ac:dyDescent="0.3">
      <c r="A34" s="2" t="s">
        <v>189</v>
      </c>
      <c r="B34" s="3" t="s">
        <v>302</v>
      </c>
      <c r="C34" s="3" t="s">
        <v>191</v>
      </c>
      <c r="D34" s="3" t="s">
        <v>68</v>
      </c>
      <c r="E34" s="3" t="s">
        <v>69</v>
      </c>
      <c r="F34" s="3" t="s">
        <v>303</v>
      </c>
      <c r="G34" s="3" t="s">
        <v>304</v>
      </c>
      <c r="H34" s="3" t="s">
        <v>184</v>
      </c>
      <c r="I34" s="4" t="s">
        <v>37</v>
      </c>
      <c r="J34" s="3" t="s">
        <v>194</v>
      </c>
      <c r="K34" s="5">
        <v>16171692.17</v>
      </c>
      <c r="L34" s="9" t="s">
        <v>37</v>
      </c>
      <c r="M34" s="3" t="s">
        <v>138</v>
      </c>
      <c r="N34" s="3" t="s">
        <v>305</v>
      </c>
      <c r="O34" s="3" t="s">
        <v>306</v>
      </c>
      <c r="P34" s="3"/>
      <c r="Q34" s="3" t="s">
        <v>307</v>
      </c>
      <c r="R34" s="3" t="s">
        <v>199</v>
      </c>
      <c r="S34" s="3" t="s">
        <v>200</v>
      </c>
      <c r="T34" s="3" t="s">
        <v>107</v>
      </c>
      <c r="U34" s="6"/>
      <c r="V34" s="6"/>
      <c r="W34" s="6"/>
      <c r="X34" s="6"/>
      <c r="Y34" s="7"/>
      <c r="Z34" s="8" t="str">
        <f t="shared" si="0"/>
        <v/>
      </c>
      <c r="AA34" s="6"/>
      <c r="AB34" s="6"/>
      <c r="AC34" s="6"/>
    </row>
    <row r="35" spans="1:29" x14ac:dyDescent="0.3">
      <c r="A35" s="2" t="s">
        <v>189</v>
      </c>
      <c r="B35" s="3" t="s">
        <v>308</v>
      </c>
      <c r="C35" s="3" t="s">
        <v>191</v>
      </c>
      <c r="D35" s="3" t="s">
        <v>50</v>
      </c>
      <c r="E35" s="3" t="s">
        <v>58</v>
      </c>
      <c r="F35" s="3" t="s">
        <v>309</v>
      </c>
      <c r="G35" s="3" t="s">
        <v>310</v>
      </c>
      <c r="H35" s="3" t="s">
        <v>36</v>
      </c>
      <c r="I35" s="4" t="s">
        <v>37</v>
      </c>
      <c r="J35" s="3" t="s">
        <v>194</v>
      </c>
      <c r="K35" s="5">
        <v>18292027.370000001</v>
      </c>
      <c r="L35" s="3"/>
      <c r="M35" s="3" t="s">
        <v>311</v>
      </c>
      <c r="N35" s="3" t="s">
        <v>312</v>
      </c>
      <c r="O35" s="3" t="s">
        <v>313</v>
      </c>
      <c r="P35" s="3" t="s">
        <v>314</v>
      </c>
      <c r="Q35" s="3" t="s">
        <v>315</v>
      </c>
      <c r="R35" s="3" t="s">
        <v>199</v>
      </c>
      <c r="S35" s="3" t="s">
        <v>200</v>
      </c>
      <c r="T35" s="3" t="s">
        <v>107</v>
      </c>
      <c r="U35" s="6"/>
      <c r="V35" s="6"/>
      <c r="W35" s="6"/>
      <c r="X35" s="6"/>
      <c r="Y35" s="7"/>
      <c r="Z35" s="8" t="str">
        <f t="shared" si="0"/>
        <v/>
      </c>
      <c r="AA35" s="6"/>
      <c r="AB35" s="6"/>
      <c r="AC35" s="6" t="s">
        <v>316</v>
      </c>
    </row>
    <row r="36" spans="1:29" x14ac:dyDescent="0.3">
      <c r="A36" s="2" t="s">
        <v>189</v>
      </c>
      <c r="B36" s="3" t="s">
        <v>317</v>
      </c>
      <c r="C36" s="3" t="s">
        <v>191</v>
      </c>
      <c r="D36" s="3" t="s">
        <v>50</v>
      </c>
      <c r="E36" s="3" t="s">
        <v>58</v>
      </c>
      <c r="F36" s="3" t="s">
        <v>318</v>
      </c>
      <c r="G36" s="3" t="s">
        <v>319</v>
      </c>
      <c r="H36" s="3" t="s">
        <v>184</v>
      </c>
      <c r="I36" s="4" t="s">
        <v>37</v>
      </c>
      <c r="J36" s="3" t="s">
        <v>194</v>
      </c>
      <c r="K36" s="5">
        <v>19271502.670000002</v>
      </c>
      <c r="L36" s="3"/>
      <c r="M36" s="3" t="s">
        <v>320</v>
      </c>
      <c r="N36" s="3" t="s">
        <v>321</v>
      </c>
      <c r="O36" s="3" t="s">
        <v>322</v>
      </c>
      <c r="P36" s="3"/>
      <c r="Q36" s="3"/>
      <c r="R36" s="3" t="s">
        <v>199</v>
      </c>
      <c r="S36" s="3" t="s">
        <v>200</v>
      </c>
      <c r="T36" s="3" t="s">
        <v>107</v>
      </c>
      <c r="U36" s="6"/>
      <c r="V36" s="6"/>
      <c r="W36" s="6"/>
      <c r="X36" s="6"/>
      <c r="Y36" s="7"/>
      <c r="Z36" s="8" t="str">
        <f t="shared" si="0"/>
        <v/>
      </c>
      <c r="AA36" s="6"/>
      <c r="AB36" s="6"/>
      <c r="AC36" s="6"/>
    </row>
    <row r="37" spans="1:29" x14ac:dyDescent="0.3">
      <c r="A37" s="2" t="s">
        <v>189</v>
      </c>
      <c r="B37" s="3" t="s">
        <v>323</v>
      </c>
      <c r="C37" s="3" t="s">
        <v>191</v>
      </c>
      <c r="D37" s="3" t="s">
        <v>68</v>
      </c>
      <c r="E37" s="3" t="s">
        <v>173</v>
      </c>
      <c r="F37" s="3" t="s">
        <v>324</v>
      </c>
      <c r="G37" s="3" t="s">
        <v>325</v>
      </c>
      <c r="H37" s="3" t="s">
        <v>184</v>
      </c>
      <c r="I37" s="4" t="s">
        <v>37</v>
      </c>
      <c r="J37" s="3" t="s">
        <v>194</v>
      </c>
      <c r="K37" s="5">
        <v>33406013.309999999</v>
      </c>
      <c r="L37" s="3"/>
      <c r="M37" s="3" t="s">
        <v>138</v>
      </c>
      <c r="N37" s="3" t="s">
        <v>326</v>
      </c>
      <c r="O37" s="3" t="s">
        <v>327</v>
      </c>
      <c r="P37" s="3" t="s">
        <v>328</v>
      </c>
      <c r="Q37" s="3"/>
      <c r="R37" s="3" t="s">
        <v>199</v>
      </c>
      <c r="S37" s="3" t="s">
        <v>200</v>
      </c>
      <c r="T37" s="3" t="s">
        <v>107</v>
      </c>
      <c r="U37" s="6"/>
      <c r="V37" s="6"/>
      <c r="W37" s="6"/>
      <c r="X37" s="6"/>
      <c r="Y37" s="7"/>
      <c r="Z37" s="8" t="str">
        <f t="shared" si="0"/>
        <v/>
      </c>
      <c r="AA37" s="6"/>
      <c r="AB37" s="6"/>
      <c r="AC37" s="6" t="s">
        <v>329</v>
      </c>
    </row>
    <row r="38" spans="1:29" x14ac:dyDescent="0.3">
      <c r="A38" s="2" t="s">
        <v>189</v>
      </c>
      <c r="B38" s="3" t="s">
        <v>330</v>
      </c>
      <c r="C38" s="3" t="s">
        <v>191</v>
      </c>
      <c r="D38" s="3" t="s">
        <v>68</v>
      </c>
      <c r="E38" s="3" t="s">
        <v>69</v>
      </c>
      <c r="F38" s="3" t="s">
        <v>331</v>
      </c>
      <c r="G38" s="3" t="s">
        <v>332</v>
      </c>
      <c r="H38" s="3" t="s">
        <v>184</v>
      </c>
      <c r="I38" s="4" t="s">
        <v>37</v>
      </c>
      <c r="J38" s="3" t="s">
        <v>194</v>
      </c>
      <c r="K38" s="5">
        <v>44200062.710000001</v>
      </c>
      <c r="L38" s="3"/>
      <c r="M38" s="3" t="s">
        <v>333</v>
      </c>
      <c r="N38" s="3" t="s">
        <v>334</v>
      </c>
      <c r="O38" s="3" t="s">
        <v>335</v>
      </c>
      <c r="P38" s="3"/>
      <c r="Q38" s="3"/>
      <c r="R38" s="3" t="s">
        <v>199</v>
      </c>
      <c r="S38" s="3" t="s">
        <v>200</v>
      </c>
      <c r="T38" s="3" t="s">
        <v>107</v>
      </c>
      <c r="U38" s="6"/>
      <c r="V38" s="6"/>
      <c r="W38" s="6"/>
      <c r="X38" s="6"/>
      <c r="Y38" s="7"/>
      <c r="Z38" s="8" t="str">
        <f t="shared" si="0"/>
        <v/>
      </c>
      <c r="AA38" s="6"/>
      <c r="AB38" s="6"/>
      <c r="AC38" s="6"/>
    </row>
    <row r="39" spans="1:29" x14ac:dyDescent="0.3">
      <c r="A39" s="2" t="s">
        <v>189</v>
      </c>
      <c r="B39" s="3" t="s">
        <v>336</v>
      </c>
      <c r="C39" s="3" t="s">
        <v>191</v>
      </c>
      <c r="D39" s="3" t="s">
        <v>68</v>
      </c>
      <c r="E39" s="3" t="s">
        <v>69</v>
      </c>
      <c r="F39" s="3" t="s">
        <v>337</v>
      </c>
      <c r="G39" s="3" t="s">
        <v>338</v>
      </c>
      <c r="H39" s="3" t="s">
        <v>184</v>
      </c>
      <c r="I39" s="4" t="s">
        <v>37</v>
      </c>
      <c r="J39" s="3" t="s">
        <v>194</v>
      </c>
      <c r="K39" s="5">
        <v>47163195.729999997</v>
      </c>
      <c r="L39" s="3"/>
      <c r="M39" s="3" t="s">
        <v>339</v>
      </c>
      <c r="N39" s="3" t="s">
        <v>340</v>
      </c>
      <c r="O39" s="3" t="s">
        <v>341</v>
      </c>
      <c r="P39" s="3" t="s">
        <v>342</v>
      </c>
      <c r="Q39" s="3" t="s">
        <v>343</v>
      </c>
      <c r="R39" s="3" t="s">
        <v>199</v>
      </c>
      <c r="S39" s="3" t="s">
        <v>200</v>
      </c>
      <c r="T39" s="3" t="s">
        <v>107</v>
      </c>
      <c r="U39" s="6"/>
      <c r="V39" s="6"/>
      <c r="W39" s="6"/>
      <c r="X39" s="6"/>
      <c r="Y39" s="7"/>
      <c r="Z39" s="8" t="str">
        <f t="shared" si="0"/>
        <v/>
      </c>
      <c r="AA39" s="6"/>
      <c r="AB39" s="6"/>
      <c r="AC39" s="6" t="s">
        <v>344</v>
      </c>
    </row>
    <row r="40" spans="1:29" x14ac:dyDescent="0.3">
      <c r="A40" s="2" t="s">
        <v>189</v>
      </c>
      <c r="B40" s="3" t="s">
        <v>345</v>
      </c>
      <c r="C40" s="3" t="s">
        <v>191</v>
      </c>
      <c r="D40" s="3" t="s">
        <v>68</v>
      </c>
      <c r="E40" s="3" t="s">
        <v>69</v>
      </c>
      <c r="F40" s="3" t="s">
        <v>346</v>
      </c>
      <c r="G40" s="3" t="s">
        <v>347</v>
      </c>
      <c r="H40" s="3" t="s">
        <v>184</v>
      </c>
      <c r="I40" s="4" t="s">
        <v>37</v>
      </c>
      <c r="J40" s="3" t="s">
        <v>194</v>
      </c>
      <c r="K40" s="5">
        <v>57840463.520000003</v>
      </c>
      <c r="L40" s="9" t="s">
        <v>37</v>
      </c>
      <c r="M40" s="3" t="s">
        <v>348</v>
      </c>
      <c r="N40" s="3" t="s">
        <v>349</v>
      </c>
      <c r="O40" s="3" t="s">
        <v>350</v>
      </c>
      <c r="P40" s="3" t="s">
        <v>351</v>
      </c>
      <c r="Q40" s="3" t="s">
        <v>352</v>
      </c>
      <c r="R40" s="3" t="s">
        <v>199</v>
      </c>
      <c r="S40" s="3" t="s">
        <v>200</v>
      </c>
      <c r="T40" s="3" t="s">
        <v>107</v>
      </c>
      <c r="U40" s="6"/>
      <c r="V40" s="6"/>
      <c r="W40" s="6"/>
      <c r="X40" s="6"/>
      <c r="Y40" s="7"/>
      <c r="Z40" s="8" t="str">
        <f t="shared" si="0"/>
        <v/>
      </c>
      <c r="AA40" s="6"/>
      <c r="AB40" s="6"/>
      <c r="AC40" s="6" t="s">
        <v>353</v>
      </c>
    </row>
    <row r="41" spans="1:29" x14ac:dyDescent="0.3">
      <c r="A41" s="2" t="s">
        <v>189</v>
      </c>
      <c r="B41" s="3" t="s">
        <v>354</v>
      </c>
      <c r="C41" s="3" t="s">
        <v>191</v>
      </c>
      <c r="D41" s="3" t="s">
        <v>68</v>
      </c>
      <c r="E41" s="3" t="s">
        <v>69</v>
      </c>
      <c r="F41" s="3" t="s">
        <v>355</v>
      </c>
      <c r="G41" s="3" t="s">
        <v>356</v>
      </c>
      <c r="H41" s="3" t="s">
        <v>36</v>
      </c>
      <c r="I41" s="4" t="s">
        <v>37</v>
      </c>
      <c r="J41" s="3" t="s">
        <v>194</v>
      </c>
      <c r="K41" s="5">
        <v>115632423.58</v>
      </c>
      <c r="L41" s="9" t="s">
        <v>37</v>
      </c>
      <c r="M41" s="3" t="s">
        <v>131</v>
      </c>
      <c r="N41" s="3" t="s">
        <v>357</v>
      </c>
      <c r="O41" s="3" t="s">
        <v>358</v>
      </c>
      <c r="P41" s="3" t="s">
        <v>359</v>
      </c>
      <c r="Q41" s="3"/>
      <c r="R41" s="3" t="s">
        <v>199</v>
      </c>
      <c r="S41" s="3" t="s">
        <v>200</v>
      </c>
      <c r="T41" s="3" t="s">
        <v>107</v>
      </c>
      <c r="U41" s="6"/>
      <c r="V41" s="6"/>
      <c r="W41" s="6"/>
      <c r="X41" s="6"/>
      <c r="Y41" s="7"/>
      <c r="Z41" s="8" t="str">
        <f t="shared" si="0"/>
        <v/>
      </c>
      <c r="AA41" s="6"/>
      <c r="AB41" s="6"/>
      <c r="AC41" s="6" t="s">
        <v>360</v>
      </c>
    </row>
    <row r="42" spans="1:29" x14ac:dyDescent="0.3">
      <c r="A42" s="2" t="s">
        <v>189</v>
      </c>
      <c r="B42" s="3" t="s">
        <v>361</v>
      </c>
      <c r="C42" s="3" t="s">
        <v>191</v>
      </c>
      <c r="D42" s="3" t="s">
        <v>50</v>
      </c>
      <c r="E42" s="3" t="s">
        <v>58</v>
      </c>
      <c r="F42" s="3" t="s">
        <v>362</v>
      </c>
      <c r="G42" s="3" t="s">
        <v>363</v>
      </c>
      <c r="H42" s="3" t="s">
        <v>36</v>
      </c>
      <c r="I42" s="4" t="s">
        <v>37</v>
      </c>
      <c r="J42" s="3" t="s">
        <v>194</v>
      </c>
      <c r="K42" s="5">
        <v>300724345.82999998</v>
      </c>
      <c r="L42" s="9" t="s">
        <v>37</v>
      </c>
      <c r="M42" s="3" t="s">
        <v>364</v>
      </c>
      <c r="N42" s="3" t="s">
        <v>365</v>
      </c>
      <c r="O42" s="3" t="s">
        <v>366</v>
      </c>
      <c r="P42" s="3"/>
      <c r="Q42" s="3"/>
      <c r="R42" s="3" t="s">
        <v>199</v>
      </c>
      <c r="S42" s="3" t="s">
        <v>200</v>
      </c>
      <c r="T42" s="3" t="s">
        <v>107</v>
      </c>
      <c r="U42" s="6"/>
      <c r="V42" s="6"/>
      <c r="W42" s="6"/>
      <c r="X42" s="6"/>
      <c r="Y42" s="7"/>
      <c r="Z42" s="8" t="str">
        <f t="shared" si="0"/>
        <v/>
      </c>
      <c r="AA42" s="6"/>
      <c r="AB42" s="6"/>
      <c r="AC42" s="6"/>
    </row>
    <row r="43" spans="1:29" x14ac:dyDescent="0.3">
      <c r="A43" s="2" t="s">
        <v>189</v>
      </c>
      <c r="B43" s="3" t="s">
        <v>367</v>
      </c>
      <c r="C43" s="3" t="s">
        <v>271</v>
      </c>
      <c r="D43" s="3" t="s">
        <v>368</v>
      </c>
      <c r="E43" s="3" t="s">
        <v>369</v>
      </c>
      <c r="F43" s="3" t="s">
        <v>370</v>
      </c>
      <c r="G43" s="3" t="s">
        <v>371</v>
      </c>
      <c r="H43" s="3" t="s">
        <v>112</v>
      </c>
      <c r="I43" s="4" t="s">
        <v>37</v>
      </c>
      <c r="J43" s="3" t="s">
        <v>194</v>
      </c>
      <c r="K43" s="5"/>
      <c r="L43" s="3"/>
      <c r="M43" s="3"/>
      <c r="N43" s="3" t="s">
        <v>372</v>
      </c>
      <c r="O43" s="3" t="s">
        <v>373</v>
      </c>
      <c r="P43" s="3" t="s">
        <v>374</v>
      </c>
      <c r="Q43" s="3" t="s">
        <v>375</v>
      </c>
      <c r="R43" s="3" t="s">
        <v>199</v>
      </c>
      <c r="S43" s="3" t="s">
        <v>200</v>
      </c>
      <c r="T43" s="3" t="s">
        <v>107</v>
      </c>
      <c r="U43" s="6"/>
      <c r="V43" s="6"/>
      <c r="W43" s="6"/>
      <c r="X43" s="6"/>
      <c r="Y43" s="7"/>
      <c r="Z43" s="8" t="str">
        <f t="shared" si="0"/>
        <v/>
      </c>
      <c r="AA43" s="6"/>
      <c r="AB43" s="6"/>
      <c r="AC43" s="6" t="s">
        <v>376</v>
      </c>
    </row>
    <row r="44" spans="1:29" x14ac:dyDescent="0.3">
      <c r="A44" s="2" t="s">
        <v>189</v>
      </c>
      <c r="B44" s="3" t="s">
        <v>377</v>
      </c>
      <c r="C44" s="3" t="s">
        <v>271</v>
      </c>
      <c r="D44" s="3" t="s">
        <v>263</v>
      </c>
      <c r="E44" s="3" t="s">
        <v>264</v>
      </c>
      <c r="F44" s="3" t="s">
        <v>378</v>
      </c>
      <c r="G44" s="3" t="s">
        <v>379</v>
      </c>
      <c r="H44" s="3" t="s">
        <v>72</v>
      </c>
      <c r="I44" s="4" t="s">
        <v>37</v>
      </c>
      <c r="J44" s="3" t="s">
        <v>194</v>
      </c>
      <c r="K44" s="5"/>
      <c r="L44" s="3"/>
      <c r="M44" s="3"/>
      <c r="N44" s="3" t="s">
        <v>380</v>
      </c>
      <c r="O44" s="3" t="s">
        <v>381</v>
      </c>
      <c r="P44" s="3"/>
      <c r="Q44" s="3"/>
      <c r="R44" s="3" t="s">
        <v>199</v>
      </c>
      <c r="S44" s="3" t="s">
        <v>200</v>
      </c>
      <c r="T44" s="3" t="s">
        <v>107</v>
      </c>
      <c r="U44" s="6"/>
      <c r="V44" s="6"/>
      <c r="W44" s="6"/>
      <c r="X44" s="6"/>
      <c r="Y44" s="7"/>
      <c r="Z44" s="8" t="str">
        <f t="shared" si="0"/>
        <v/>
      </c>
      <c r="AA44" s="6"/>
      <c r="AB44" s="6"/>
      <c r="AC44" s="6" t="s">
        <v>382</v>
      </c>
    </row>
  </sheetData>
  <autoFilter ref="A1:AC4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C0EF"/>
  </sheetPr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5" width="52" customWidth="1"/>
    <col min="6" max="6" width="26" customWidth="1"/>
    <col min="7" max="7" width="20" customWidth="1"/>
    <col min="8" max="8" width="8" customWidth="1"/>
    <col min="9" max="9" width="17" customWidth="1"/>
    <col min="10" max="11" width="15" customWidth="1"/>
    <col min="12" max="12" width="9" customWidth="1"/>
    <col min="13" max="13" width="14" customWidth="1"/>
    <col min="14" max="14" width="34" customWidth="1"/>
    <col min="15" max="15" width="26" customWidth="1"/>
    <col min="16" max="16" width="24" customWidth="1"/>
    <col min="17" max="17" width="46" customWidth="1"/>
    <col min="18" max="18" width="34" customWidth="1"/>
    <col min="19" max="19" width="24" customWidth="1"/>
    <col min="20" max="20" width="18" customWidth="1"/>
    <col min="21" max="21" width="14" customWidth="1"/>
    <col min="22" max="22" width="24" customWidth="1"/>
    <col min="23" max="23" width="14" customWidth="1"/>
    <col min="24" max="25" width="12" customWidth="1"/>
    <col min="26" max="26" width="16" customWidth="1"/>
    <col min="27" max="27" width="18" customWidth="1"/>
    <col min="28" max="28" width="28" customWidth="1"/>
  </cols>
  <sheetData>
    <row r="1" spans="1:2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2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4" t="s">
        <v>37</v>
      </c>
      <c r="I2" s="3" t="s">
        <v>38</v>
      </c>
      <c r="J2" s="5">
        <v>22087181.620000001</v>
      </c>
      <c r="K2" s="3"/>
      <c r="L2" s="3" t="s">
        <v>39</v>
      </c>
      <c r="M2" s="3" t="s">
        <v>40</v>
      </c>
      <c r="N2" s="3" t="s">
        <v>41</v>
      </c>
      <c r="O2" s="3" t="s">
        <v>42</v>
      </c>
      <c r="P2" s="3" t="s">
        <v>43</v>
      </c>
      <c r="Q2" s="3" t="s">
        <v>44</v>
      </c>
      <c r="R2" s="3" t="s">
        <v>45</v>
      </c>
      <c r="S2" s="3" t="s">
        <v>46</v>
      </c>
      <c r="T2" s="6"/>
      <c r="U2" s="6"/>
      <c r="V2" s="6"/>
      <c r="W2" s="6"/>
      <c r="X2" s="7"/>
      <c r="Y2" s="8" t="str">
        <f t="shared" ref="Y2:Y7" si="0">IF(X2="","",WORKDAY(X2,5))</f>
        <v/>
      </c>
      <c r="Z2" s="6"/>
      <c r="AA2" s="6"/>
      <c r="AB2" s="6" t="s">
        <v>47</v>
      </c>
    </row>
    <row r="3" spans="1:28" x14ac:dyDescent="0.3">
      <c r="A3" s="2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36</v>
      </c>
      <c r="H3" s="4" t="s">
        <v>37</v>
      </c>
      <c r="I3" s="3" t="s">
        <v>38</v>
      </c>
      <c r="J3" s="5">
        <v>30736757.870000001</v>
      </c>
      <c r="K3" s="3"/>
      <c r="L3" s="3" t="s">
        <v>54</v>
      </c>
      <c r="M3" s="3" t="s">
        <v>55</v>
      </c>
      <c r="N3" s="3" t="s">
        <v>56</v>
      </c>
      <c r="O3" s="3"/>
      <c r="P3" s="3"/>
      <c r="Q3" s="3" t="s">
        <v>44</v>
      </c>
      <c r="R3" s="3" t="s">
        <v>45</v>
      </c>
      <c r="S3" s="3" t="s">
        <v>46</v>
      </c>
      <c r="T3" s="6"/>
      <c r="U3" s="6"/>
      <c r="V3" s="6"/>
      <c r="W3" s="6"/>
      <c r="X3" s="7"/>
      <c r="Y3" s="8" t="str">
        <f t="shared" si="0"/>
        <v/>
      </c>
      <c r="Z3" s="6"/>
      <c r="AA3" s="6"/>
      <c r="AB3" s="6"/>
    </row>
    <row r="4" spans="1:28" x14ac:dyDescent="0.3">
      <c r="A4" s="2" t="s">
        <v>57</v>
      </c>
      <c r="B4" s="3" t="s">
        <v>31</v>
      </c>
      <c r="C4" s="3" t="s">
        <v>50</v>
      </c>
      <c r="D4" s="3" t="s">
        <v>58</v>
      </c>
      <c r="E4" s="3" t="s">
        <v>59</v>
      </c>
      <c r="F4" s="3" t="s">
        <v>60</v>
      </c>
      <c r="G4" s="3" t="s">
        <v>36</v>
      </c>
      <c r="H4" s="4" t="s">
        <v>37</v>
      </c>
      <c r="I4" s="3" t="s">
        <v>38</v>
      </c>
      <c r="J4" s="5">
        <v>32908577.68</v>
      </c>
      <c r="K4" s="3"/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44</v>
      </c>
      <c r="R4" s="3" t="s">
        <v>45</v>
      </c>
      <c r="S4" s="3" t="s">
        <v>46</v>
      </c>
      <c r="T4" s="6"/>
      <c r="U4" s="6"/>
      <c r="V4" s="6"/>
      <c r="W4" s="6"/>
      <c r="X4" s="7"/>
      <c r="Y4" s="8" t="str">
        <f t="shared" si="0"/>
        <v/>
      </c>
      <c r="Z4" s="6"/>
      <c r="AA4" s="6"/>
      <c r="AB4" s="6" t="s">
        <v>66</v>
      </c>
    </row>
    <row r="5" spans="1:28" x14ac:dyDescent="0.3">
      <c r="A5" s="2" t="s">
        <v>67</v>
      </c>
      <c r="B5" s="3" t="s">
        <v>49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  <c r="H5" s="4" t="s">
        <v>37</v>
      </c>
      <c r="I5" s="3" t="s">
        <v>38</v>
      </c>
      <c r="J5" s="5">
        <v>51108343.25</v>
      </c>
      <c r="K5" s="3"/>
      <c r="L5" s="3" t="s">
        <v>73</v>
      </c>
      <c r="M5" s="3" t="s">
        <v>74</v>
      </c>
      <c r="N5" s="3" t="s">
        <v>75</v>
      </c>
      <c r="O5" s="3"/>
      <c r="P5" s="3" t="s">
        <v>76</v>
      </c>
      <c r="Q5" s="3" t="s">
        <v>44</v>
      </c>
      <c r="R5" s="3" t="s">
        <v>45</v>
      </c>
      <c r="S5" s="3" t="s">
        <v>46</v>
      </c>
      <c r="T5" s="6"/>
      <c r="U5" s="6"/>
      <c r="V5" s="6"/>
      <c r="W5" s="6"/>
      <c r="X5" s="7"/>
      <c r="Y5" s="8" t="str">
        <f t="shared" si="0"/>
        <v/>
      </c>
      <c r="Z5" s="6"/>
      <c r="AA5" s="6"/>
      <c r="AB5" s="6"/>
    </row>
    <row r="6" spans="1:28" x14ac:dyDescent="0.3">
      <c r="A6" s="2" t="s">
        <v>77</v>
      </c>
      <c r="B6" s="3" t="s">
        <v>31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72</v>
      </c>
      <c r="H6" s="4" t="s">
        <v>37</v>
      </c>
      <c r="I6" s="3" t="s">
        <v>38</v>
      </c>
      <c r="J6" s="5">
        <v>118736076.42</v>
      </c>
      <c r="K6" s="3"/>
      <c r="L6" s="3" t="s">
        <v>82</v>
      </c>
      <c r="M6" s="3" t="s">
        <v>83</v>
      </c>
      <c r="N6" s="3" t="s">
        <v>84</v>
      </c>
      <c r="O6" s="3"/>
      <c r="P6" s="3" t="s">
        <v>85</v>
      </c>
      <c r="Q6" s="3" t="s">
        <v>44</v>
      </c>
      <c r="R6" s="3" t="s">
        <v>45</v>
      </c>
      <c r="S6" s="3" t="s">
        <v>46</v>
      </c>
      <c r="T6" s="6"/>
      <c r="U6" s="6"/>
      <c r="V6" s="6"/>
      <c r="W6" s="6"/>
      <c r="X6" s="7"/>
      <c r="Y6" s="8" t="str">
        <f t="shared" si="0"/>
        <v/>
      </c>
      <c r="Z6" s="6"/>
      <c r="AA6" s="6"/>
      <c r="AB6" s="6"/>
    </row>
    <row r="7" spans="1:28" x14ac:dyDescent="0.3">
      <c r="A7" s="2" t="s">
        <v>86</v>
      </c>
      <c r="B7" s="3" t="s">
        <v>87</v>
      </c>
      <c r="C7" s="3" t="s">
        <v>68</v>
      </c>
      <c r="D7" s="3" t="s">
        <v>69</v>
      </c>
      <c r="E7" s="3" t="s">
        <v>88</v>
      </c>
      <c r="F7" s="3" t="s">
        <v>89</v>
      </c>
      <c r="G7" s="3" t="s">
        <v>72</v>
      </c>
      <c r="H7" s="4" t="s">
        <v>37</v>
      </c>
      <c r="I7" s="3" t="s">
        <v>38</v>
      </c>
      <c r="J7" s="5">
        <v>310000000</v>
      </c>
      <c r="K7" s="3"/>
      <c r="L7" s="3"/>
      <c r="M7" s="3" t="s">
        <v>90</v>
      </c>
      <c r="N7" s="3" t="s">
        <v>91</v>
      </c>
      <c r="O7" s="3" t="s">
        <v>92</v>
      </c>
      <c r="P7" s="3" t="s">
        <v>93</v>
      </c>
      <c r="Q7" s="3" t="s">
        <v>44</v>
      </c>
      <c r="R7" s="3" t="s">
        <v>45</v>
      </c>
      <c r="S7" s="3" t="s">
        <v>46</v>
      </c>
      <c r="T7" s="6"/>
      <c r="U7" s="6"/>
      <c r="V7" s="6"/>
      <c r="W7" s="6"/>
      <c r="X7" s="7"/>
      <c r="Y7" s="8" t="str">
        <f t="shared" si="0"/>
        <v/>
      </c>
      <c r="Z7" s="6"/>
      <c r="AA7" s="6"/>
      <c r="AB7" s="6" t="s">
        <v>94</v>
      </c>
    </row>
  </sheetData>
  <autoFilter ref="A1:AB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C0EF"/>
  </sheetPr>
  <dimension ref="A1:AB1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5" width="52" customWidth="1"/>
    <col min="6" max="6" width="26" customWidth="1"/>
    <col min="7" max="7" width="20" customWidth="1"/>
    <col min="8" max="8" width="8" customWidth="1"/>
    <col min="9" max="9" width="17" customWidth="1"/>
    <col min="10" max="11" width="15" customWidth="1"/>
    <col min="12" max="12" width="9" customWidth="1"/>
    <col min="13" max="13" width="14" customWidth="1"/>
    <col min="14" max="14" width="34" customWidth="1"/>
    <col min="15" max="15" width="26" customWidth="1"/>
    <col min="16" max="16" width="24" customWidth="1"/>
    <col min="17" max="17" width="46" customWidth="1"/>
    <col min="18" max="18" width="34" customWidth="1"/>
    <col min="19" max="19" width="24" customWidth="1"/>
    <col min="20" max="20" width="18" customWidth="1"/>
    <col min="21" max="21" width="14" customWidth="1"/>
    <col min="22" max="22" width="24" customWidth="1"/>
    <col min="23" max="23" width="14" customWidth="1"/>
    <col min="24" max="25" width="12" customWidth="1"/>
    <col min="26" max="26" width="16" customWidth="1"/>
    <col min="27" max="27" width="18" customWidth="1"/>
    <col min="28" max="28" width="28" customWidth="1"/>
  </cols>
  <sheetData>
    <row r="1" spans="1:2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2" t="s">
        <v>96</v>
      </c>
      <c r="B2" s="3" t="s">
        <v>97</v>
      </c>
      <c r="C2" s="3" t="s">
        <v>50</v>
      </c>
      <c r="D2" s="3" t="s">
        <v>58</v>
      </c>
      <c r="E2" s="3" t="s">
        <v>98</v>
      </c>
      <c r="F2" s="3" t="s">
        <v>99</v>
      </c>
      <c r="G2" s="3" t="s">
        <v>72</v>
      </c>
      <c r="H2" s="4" t="s">
        <v>37</v>
      </c>
      <c r="I2" s="3" t="s">
        <v>100</v>
      </c>
      <c r="J2" s="5">
        <v>2117963.09</v>
      </c>
      <c r="K2" s="3"/>
      <c r="L2" s="3" t="s">
        <v>101</v>
      </c>
      <c r="M2" s="3" t="s">
        <v>102</v>
      </c>
      <c r="N2" s="3" t="s">
        <v>103</v>
      </c>
      <c r="O2" s="3" t="s">
        <v>104</v>
      </c>
      <c r="P2" s="3"/>
      <c r="Q2" s="3" t="s">
        <v>105</v>
      </c>
      <c r="R2" s="3" t="s">
        <v>106</v>
      </c>
      <c r="S2" s="3" t="s">
        <v>107</v>
      </c>
      <c r="T2" s="6"/>
      <c r="U2" s="6"/>
      <c r="V2" s="6"/>
      <c r="W2" s="6"/>
      <c r="X2" s="7"/>
      <c r="Y2" s="8" t="str">
        <f t="shared" ref="Y2:Y12" si="0">IF(X2="","",WORKDAY(X2,5))</f>
        <v/>
      </c>
      <c r="Z2" s="6"/>
      <c r="AA2" s="6"/>
      <c r="AB2" s="6" t="s">
        <v>108</v>
      </c>
    </row>
    <row r="3" spans="1:28" x14ac:dyDescent="0.3">
      <c r="A3" s="2" t="s">
        <v>109</v>
      </c>
      <c r="B3" s="3" t="s">
        <v>97</v>
      </c>
      <c r="C3" s="3" t="s">
        <v>68</v>
      </c>
      <c r="D3" s="3" t="s">
        <v>69</v>
      </c>
      <c r="E3" s="3" t="s">
        <v>110</v>
      </c>
      <c r="F3" s="3" t="s">
        <v>111</v>
      </c>
      <c r="G3" s="3" t="s">
        <v>112</v>
      </c>
      <c r="H3" s="4" t="s">
        <v>37</v>
      </c>
      <c r="I3" s="3" t="s">
        <v>100</v>
      </c>
      <c r="J3" s="5">
        <v>9827342.3200000003</v>
      </c>
      <c r="K3" s="3"/>
      <c r="L3" s="3" t="s">
        <v>113</v>
      </c>
      <c r="M3" s="3" t="s">
        <v>114</v>
      </c>
      <c r="N3" s="3" t="s">
        <v>115</v>
      </c>
      <c r="O3" s="3" t="s">
        <v>116</v>
      </c>
      <c r="P3" s="3" t="s">
        <v>117</v>
      </c>
      <c r="Q3" s="3" t="s">
        <v>105</v>
      </c>
      <c r="R3" s="3" t="s">
        <v>106</v>
      </c>
      <c r="S3" s="3" t="s">
        <v>107</v>
      </c>
      <c r="T3" s="6"/>
      <c r="U3" s="6"/>
      <c r="V3" s="6"/>
      <c r="W3" s="6"/>
      <c r="X3" s="7"/>
      <c r="Y3" s="8" t="str">
        <f t="shared" si="0"/>
        <v/>
      </c>
      <c r="Z3" s="6"/>
      <c r="AA3" s="6"/>
      <c r="AB3" s="6" t="s">
        <v>118</v>
      </c>
    </row>
    <row r="4" spans="1:28" x14ac:dyDescent="0.3">
      <c r="A4" s="2" t="s">
        <v>119</v>
      </c>
      <c r="B4" s="3" t="s">
        <v>97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112</v>
      </c>
      <c r="H4" s="4" t="s">
        <v>37</v>
      </c>
      <c r="I4" s="3" t="s">
        <v>100</v>
      </c>
      <c r="J4" s="5">
        <v>16432954.970000001</v>
      </c>
      <c r="K4" s="3"/>
      <c r="L4" s="3" t="s">
        <v>124</v>
      </c>
      <c r="M4" s="3" t="s">
        <v>125</v>
      </c>
      <c r="N4" s="3" t="s">
        <v>126</v>
      </c>
      <c r="O4" s="3"/>
      <c r="P4" s="3" t="s">
        <v>127</v>
      </c>
      <c r="Q4" s="3" t="s">
        <v>105</v>
      </c>
      <c r="R4" s="3" t="s">
        <v>106</v>
      </c>
      <c r="S4" s="3" t="s">
        <v>107</v>
      </c>
      <c r="T4" s="6"/>
      <c r="U4" s="6"/>
      <c r="V4" s="6"/>
      <c r="W4" s="6"/>
      <c r="X4" s="7"/>
      <c r="Y4" s="8" t="str">
        <f t="shared" si="0"/>
        <v/>
      </c>
      <c r="Z4" s="6"/>
      <c r="AA4" s="6"/>
      <c r="AB4" s="6"/>
    </row>
    <row r="5" spans="1:28" x14ac:dyDescent="0.3">
      <c r="A5" s="2" t="s">
        <v>128</v>
      </c>
      <c r="B5" s="3" t="s">
        <v>97</v>
      </c>
      <c r="C5" s="3" t="s">
        <v>68</v>
      </c>
      <c r="D5" s="3" t="s">
        <v>69</v>
      </c>
      <c r="E5" s="3" t="s">
        <v>129</v>
      </c>
      <c r="F5" s="3" t="s">
        <v>130</v>
      </c>
      <c r="G5" s="3" t="s">
        <v>72</v>
      </c>
      <c r="H5" s="4" t="s">
        <v>37</v>
      </c>
      <c r="I5" s="3" t="s">
        <v>100</v>
      </c>
      <c r="J5" s="5">
        <v>20063943.699999999</v>
      </c>
      <c r="K5" s="3"/>
      <c r="L5" s="3" t="s">
        <v>131</v>
      </c>
      <c r="M5" s="3" t="s">
        <v>132</v>
      </c>
      <c r="N5" s="3" t="s">
        <v>133</v>
      </c>
      <c r="O5" s="3"/>
      <c r="P5" s="3" t="s">
        <v>134</v>
      </c>
      <c r="Q5" s="3" t="s">
        <v>105</v>
      </c>
      <c r="R5" s="3" t="s">
        <v>106</v>
      </c>
      <c r="S5" s="3" t="s">
        <v>107</v>
      </c>
      <c r="T5" s="6"/>
      <c r="U5" s="6"/>
      <c r="V5" s="6"/>
      <c r="W5" s="6"/>
      <c r="X5" s="7"/>
      <c r="Y5" s="8" t="str">
        <f t="shared" si="0"/>
        <v/>
      </c>
      <c r="Z5" s="6"/>
      <c r="AA5" s="6"/>
      <c r="AB5" s="6"/>
    </row>
    <row r="6" spans="1:28" x14ac:dyDescent="0.3">
      <c r="A6" s="2" t="s">
        <v>135</v>
      </c>
      <c r="B6" s="3" t="s">
        <v>97</v>
      </c>
      <c r="C6" s="3" t="s">
        <v>50</v>
      </c>
      <c r="D6" s="3" t="s">
        <v>58</v>
      </c>
      <c r="E6" s="3" t="s">
        <v>136</v>
      </c>
      <c r="F6" s="3" t="s">
        <v>137</v>
      </c>
      <c r="G6" s="3" t="s">
        <v>36</v>
      </c>
      <c r="H6" s="4" t="s">
        <v>37</v>
      </c>
      <c r="I6" s="3" t="s">
        <v>100</v>
      </c>
      <c r="J6" s="5">
        <v>21983750.530000001</v>
      </c>
      <c r="K6" s="3"/>
      <c r="L6" s="3" t="s">
        <v>138</v>
      </c>
      <c r="M6" s="3" t="s">
        <v>139</v>
      </c>
      <c r="N6" s="3" t="s">
        <v>140</v>
      </c>
      <c r="O6" s="3"/>
      <c r="P6" s="3" t="s">
        <v>141</v>
      </c>
      <c r="Q6" s="3" t="s">
        <v>105</v>
      </c>
      <c r="R6" s="3" t="s">
        <v>106</v>
      </c>
      <c r="S6" s="3" t="s">
        <v>107</v>
      </c>
      <c r="T6" s="6"/>
      <c r="U6" s="6"/>
      <c r="V6" s="6"/>
      <c r="W6" s="6"/>
      <c r="X6" s="7"/>
      <c r="Y6" s="8" t="str">
        <f t="shared" si="0"/>
        <v/>
      </c>
      <c r="Z6" s="6"/>
      <c r="AA6" s="6"/>
      <c r="AB6" s="6"/>
    </row>
    <row r="7" spans="1:28" x14ac:dyDescent="0.3">
      <c r="A7" s="2" t="s">
        <v>142</v>
      </c>
      <c r="B7" s="3" t="s">
        <v>97</v>
      </c>
      <c r="C7" s="3" t="s">
        <v>68</v>
      </c>
      <c r="D7" s="3" t="s">
        <v>69</v>
      </c>
      <c r="E7" s="3" t="s">
        <v>143</v>
      </c>
      <c r="F7" s="3" t="s">
        <v>144</v>
      </c>
      <c r="G7" s="3" t="s">
        <v>72</v>
      </c>
      <c r="H7" s="4" t="s">
        <v>37</v>
      </c>
      <c r="I7" s="3" t="s">
        <v>100</v>
      </c>
      <c r="J7" s="5">
        <v>45519071.579999998</v>
      </c>
      <c r="K7" s="9" t="s">
        <v>37</v>
      </c>
      <c r="L7" s="3" t="s">
        <v>145</v>
      </c>
      <c r="M7" s="3" t="s">
        <v>146</v>
      </c>
      <c r="N7" s="3" t="s">
        <v>147</v>
      </c>
      <c r="O7" s="3" t="s">
        <v>148</v>
      </c>
      <c r="P7" s="3" t="s">
        <v>149</v>
      </c>
      <c r="Q7" s="3" t="s">
        <v>105</v>
      </c>
      <c r="R7" s="3" t="s">
        <v>106</v>
      </c>
      <c r="S7" s="3" t="s">
        <v>107</v>
      </c>
      <c r="T7" s="6"/>
      <c r="U7" s="6"/>
      <c r="V7" s="6"/>
      <c r="W7" s="6"/>
      <c r="X7" s="7"/>
      <c r="Y7" s="8" t="str">
        <f t="shared" si="0"/>
        <v/>
      </c>
      <c r="Z7" s="6"/>
      <c r="AA7" s="6"/>
      <c r="AB7" s="6" t="s">
        <v>150</v>
      </c>
    </row>
    <row r="8" spans="1:28" x14ac:dyDescent="0.3">
      <c r="A8" s="2" t="s">
        <v>151</v>
      </c>
      <c r="B8" s="3" t="s">
        <v>97</v>
      </c>
      <c r="C8" s="3" t="s">
        <v>120</v>
      </c>
      <c r="D8" s="3" t="s">
        <v>121</v>
      </c>
      <c r="E8" s="3" t="s">
        <v>152</v>
      </c>
      <c r="F8" s="3" t="s">
        <v>153</v>
      </c>
      <c r="G8" s="3" t="s">
        <v>72</v>
      </c>
      <c r="H8" s="4" t="s">
        <v>37</v>
      </c>
      <c r="I8" s="3" t="s">
        <v>100</v>
      </c>
      <c r="J8" s="5">
        <v>58710307.07</v>
      </c>
      <c r="K8" s="3"/>
      <c r="L8" s="3" t="s">
        <v>124</v>
      </c>
      <c r="M8" s="3" t="s">
        <v>154</v>
      </c>
      <c r="N8" s="3" t="s">
        <v>155</v>
      </c>
      <c r="O8" s="3"/>
      <c r="P8" s="3" t="s">
        <v>156</v>
      </c>
      <c r="Q8" s="3" t="s">
        <v>105</v>
      </c>
      <c r="R8" s="3" t="s">
        <v>106</v>
      </c>
      <c r="S8" s="3" t="s">
        <v>107</v>
      </c>
      <c r="T8" s="6"/>
      <c r="U8" s="6"/>
      <c r="V8" s="6"/>
      <c r="W8" s="6"/>
      <c r="X8" s="7"/>
      <c r="Y8" s="8" t="str">
        <f t="shared" si="0"/>
        <v/>
      </c>
      <c r="Z8" s="6"/>
      <c r="AA8" s="6"/>
      <c r="AB8" s="6"/>
    </row>
    <row r="9" spans="1:28" x14ac:dyDescent="0.3">
      <c r="A9" s="2" t="s">
        <v>157</v>
      </c>
      <c r="B9" s="3" t="s">
        <v>97</v>
      </c>
      <c r="C9" s="3" t="s">
        <v>68</v>
      </c>
      <c r="D9" s="3" t="s">
        <v>69</v>
      </c>
      <c r="E9" s="3" t="s">
        <v>158</v>
      </c>
      <c r="F9" s="3" t="s">
        <v>159</v>
      </c>
      <c r="G9" s="3" t="s">
        <v>36</v>
      </c>
      <c r="H9" s="4" t="s">
        <v>37</v>
      </c>
      <c r="I9" s="3" t="s">
        <v>100</v>
      </c>
      <c r="J9" s="5">
        <v>133653144.25</v>
      </c>
      <c r="K9" s="3"/>
      <c r="L9" s="3" t="s">
        <v>160</v>
      </c>
      <c r="M9" s="3" t="s">
        <v>161</v>
      </c>
      <c r="N9" s="3" t="s">
        <v>162</v>
      </c>
      <c r="O9" s="3" t="s">
        <v>163</v>
      </c>
      <c r="P9" s="3"/>
      <c r="Q9" s="3" t="s">
        <v>105</v>
      </c>
      <c r="R9" s="3" t="s">
        <v>106</v>
      </c>
      <c r="S9" s="3" t="s">
        <v>107</v>
      </c>
      <c r="T9" s="6"/>
      <c r="U9" s="6"/>
      <c r="V9" s="6"/>
      <c r="W9" s="6"/>
      <c r="X9" s="7"/>
      <c r="Y9" s="8" t="str">
        <f t="shared" si="0"/>
        <v/>
      </c>
      <c r="Z9" s="6"/>
      <c r="AA9" s="6"/>
      <c r="AB9" s="6" t="s">
        <v>164</v>
      </c>
    </row>
    <row r="10" spans="1:28" x14ac:dyDescent="0.3">
      <c r="A10" s="2" t="s">
        <v>165</v>
      </c>
      <c r="B10" s="3" t="s">
        <v>97</v>
      </c>
      <c r="C10" s="3" t="s">
        <v>68</v>
      </c>
      <c r="D10" s="3" t="s">
        <v>69</v>
      </c>
      <c r="E10" s="3" t="s">
        <v>166</v>
      </c>
      <c r="F10" s="3" t="s">
        <v>167</v>
      </c>
      <c r="G10" s="3" t="s">
        <v>72</v>
      </c>
      <c r="H10" s="4" t="s">
        <v>37</v>
      </c>
      <c r="I10" s="3" t="s">
        <v>100</v>
      </c>
      <c r="J10" s="5">
        <v>201587382.81</v>
      </c>
      <c r="K10" s="3"/>
      <c r="L10" s="3" t="s">
        <v>160</v>
      </c>
      <c r="M10" s="3" t="s">
        <v>168</v>
      </c>
      <c r="N10" s="3" t="s">
        <v>169</v>
      </c>
      <c r="O10" s="3"/>
      <c r="P10" s="3" t="s">
        <v>170</v>
      </c>
      <c r="Q10" s="3" t="s">
        <v>105</v>
      </c>
      <c r="R10" s="3" t="s">
        <v>106</v>
      </c>
      <c r="S10" s="3" t="s">
        <v>107</v>
      </c>
      <c r="T10" s="6"/>
      <c r="U10" s="6"/>
      <c r="V10" s="6"/>
      <c r="W10" s="6"/>
      <c r="X10" s="7"/>
      <c r="Y10" s="8" t="str">
        <f t="shared" si="0"/>
        <v/>
      </c>
      <c r="Z10" s="6"/>
      <c r="AA10" s="6"/>
      <c r="AB10" s="6"/>
    </row>
    <row r="11" spans="1:28" x14ac:dyDescent="0.3">
      <c r="A11" s="2" t="s">
        <v>171</v>
      </c>
      <c r="B11" s="3" t="s">
        <v>172</v>
      </c>
      <c r="C11" s="3" t="s">
        <v>68</v>
      </c>
      <c r="D11" s="3" t="s">
        <v>173</v>
      </c>
      <c r="E11" s="3" t="s">
        <v>174</v>
      </c>
      <c r="F11" s="3" t="s">
        <v>175</v>
      </c>
      <c r="G11" s="3" t="s">
        <v>36</v>
      </c>
      <c r="H11" s="4" t="s">
        <v>37</v>
      </c>
      <c r="I11" s="3" t="s">
        <v>100</v>
      </c>
      <c r="J11" s="5"/>
      <c r="K11" s="3"/>
      <c r="L11" s="3"/>
      <c r="M11" s="3" t="s">
        <v>176</v>
      </c>
      <c r="N11" s="3" t="s">
        <v>177</v>
      </c>
      <c r="O11" s="3" t="s">
        <v>178</v>
      </c>
      <c r="P11" s="3" t="s">
        <v>179</v>
      </c>
      <c r="Q11" s="3" t="s">
        <v>105</v>
      </c>
      <c r="R11" s="3" t="s">
        <v>106</v>
      </c>
      <c r="S11" s="3" t="s">
        <v>107</v>
      </c>
      <c r="T11" s="6"/>
      <c r="U11" s="6"/>
      <c r="V11" s="6"/>
      <c r="W11" s="6"/>
      <c r="X11" s="7"/>
      <c r="Y11" s="8" t="str">
        <f t="shared" si="0"/>
        <v/>
      </c>
      <c r="Z11" s="6"/>
      <c r="AA11" s="6"/>
      <c r="AB11" s="6" t="s">
        <v>180</v>
      </c>
    </row>
    <row r="12" spans="1:28" x14ac:dyDescent="0.3">
      <c r="A12" s="2" t="s">
        <v>181</v>
      </c>
      <c r="B12" s="3" t="s">
        <v>172</v>
      </c>
      <c r="C12" s="3" t="s">
        <v>68</v>
      </c>
      <c r="D12" s="3" t="s">
        <v>69</v>
      </c>
      <c r="E12" s="3" t="s">
        <v>182</v>
      </c>
      <c r="F12" s="3" t="s">
        <v>183</v>
      </c>
      <c r="G12" s="3" t="s">
        <v>184</v>
      </c>
      <c r="H12" s="4" t="s">
        <v>37</v>
      </c>
      <c r="I12" s="3" t="s">
        <v>100</v>
      </c>
      <c r="J12" s="5"/>
      <c r="K12" s="3"/>
      <c r="L12" s="3"/>
      <c r="M12" s="3" t="s">
        <v>185</v>
      </c>
      <c r="N12" s="3" t="s">
        <v>186</v>
      </c>
      <c r="O12" s="3"/>
      <c r="P12" s="3" t="s">
        <v>187</v>
      </c>
      <c r="Q12" s="3" t="s">
        <v>105</v>
      </c>
      <c r="R12" s="3" t="s">
        <v>106</v>
      </c>
      <c r="S12" s="3" t="s">
        <v>107</v>
      </c>
      <c r="T12" s="6"/>
      <c r="U12" s="6"/>
      <c r="V12" s="6"/>
      <c r="W12" s="6"/>
      <c r="X12" s="7"/>
      <c r="Y12" s="8" t="str">
        <f t="shared" si="0"/>
        <v/>
      </c>
      <c r="Z12" s="6"/>
      <c r="AA12" s="6"/>
      <c r="AB12" s="6" t="s">
        <v>188</v>
      </c>
    </row>
  </sheetData>
  <autoFilter ref="A1:AB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C0EF"/>
  </sheetPr>
  <dimension ref="A1:AB2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26" customWidth="1"/>
    <col min="3" max="3" width="5" customWidth="1"/>
    <col min="4" max="4" width="15" customWidth="1"/>
    <col min="5" max="5" width="52" customWidth="1"/>
    <col min="6" max="6" width="26" customWidth="1"/>
    <col min="7" max="7" width="20" customWidth="1"/>
    <col min="8" max="8" width="8" customWidth="1"/>
    <col min="9" max="9" width="17" customWidth="1"/>
    <col min="10" max="11" width="15" customWidth="1"/>
    <col min="12" max="12" width="9" customWidth="1"/>
    <col min="13" max="13" width="14" customWidth="1"/>
    <col min="14" max="14" width="34" customWidth="1"/>
    <col min="15" max="15" width="26" customWidth="1"/>
    <col min="16" max="16" width="24" customWidth="1"/>
    <col min="17" max="17" width="46" customWidth="1"/>
    <col min="18" max="18" width="34" customWidth="1"/>
    <col min="19" max="19" width="24" customWidth="1"/>
    <col min="20" max="20" width="18" customWidth="1"/>
    <col min="21" max="21" width="14" customWidth="1"/>
    <col min="22" max="22" width="24" customWidth="1"/>
    <col min="23" max="23" width="14" customWidth="1"/>
    <col min="24" max="25" width="12" customWidth="1"/>
    <col min="26" max="26" width="16" customWidth="1"/>
    <col min="27" max="27" width="18" customWidth="1"/>
    <col min="28" max="28" width="28" customWidth="1"/>
  </cols>
  <sheetData>
    <row r="1" spans="1:2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3">
      <c r="A2" s="2" t="s">
        <v>249</v>
      </c>
      <c r="B2" s="3" t="s">
        <v>191</v>
      </c>
      <c r="C2" s="3" t="s">
        <v>68</v>
      </c>
      <c r="D2" s="3" t="s">
        <v>69</v>
      </c>
      <c r="E2" s="3" t="s">
        <v>250</v>
      </c>
      <c r="F2" s="3" t="s">
        <v>251</v>
      </c>
      <c r="G2" s="3" t="s">
        <v>112</v>
      </c>
      <c r="H2" s="4" t="s">
        <v>37</v>
      </c>
      <c r="I2" s="3" t="s">
        <v>194</v>
      </c>
      <c r="J2" s="5">
        <v>7395806.0199999996</v>
      </c>
      <c r="K2" s="9" t="s">
        <v>37</v>
      </c>
      <c r="L2" s="3" t="s">
        <v>252</v>
      </c>
      <c r="M2" s="3" t="s">
        <v>253</v>
      </c>
      <c r="N2" s="3" t="s">
        <v>254</v>
      </c>
      <c r="O2" s="3"/>
      <c r="P2" s="3" t="s">
        <v>255</v>
      </c>
      <c r="Q2" s="3" t="s">
        <v>199</v>
      </c>
      <c r="R2" s="3" t="s">
        <v>200</v>
      </c>
      <c r="S2" s="3" t="s">
        <v>107</v>
      </c>
      <c r="T2" s="6"/>
      <c r="U2" s="6"/>
      <c r="V2" s="6"/>
      <c r="W2" s="6"/>
      <c r="X2" s="7"/>
      <c r="Y2" s="8" t="str">
        <f t="shared" ref="Y2:Y27" si="0">IF(X2="","",WORKDAY(X2,5))</f>
        <v/>
      </c>
      <c r="Z2" s="6"/>
      <c r="AA2" s="6"/>
      <c r="AB2" s="6"/>
    </row>
    <row r="3" spans="1:28" x14ac:dyDescent="0.3">
      <c r="A3" s="2" t="s">
        <v>302</v>
      </c>
      <c r="B3" s="3" t="s">
        <v>191</v>
      </c>
      <c r="C3" s="3" t="s">
        <v>68</v>
      </c>
      <c r="D3" s="3" t="s">
        <v>69</v>
      </c>
      <c r="E3" s="3" t="s">
        <v>303</v>
      </c>
      <c r="F3" s="3" t="s">
        <v>304</v>
      </c>
      <c r="G3" s="3" t="s">
        <v>184</v>
      </c>
      <c r="H3" s="4" t="s">
        <v>37</v>
      </c>
      <c r="I3" s="3" t="s">
        <v>194</v>
      </c>
      <c r="J3" s="5">
        <v>16171692.17</v>
      </c>
      <c r="K3" s="9" t="s">
        <v>37</v>
      </c>
      <c r="L3" s="3" t="s">
        <v>138</v>
      </c>
      <c r="M3" s="3" t="s">
        <v>305</v>
      </c>
      <c r="N3" s="3" t="s">
        <v>306</v>
      </c>
      <c r="O3" s="3"/>
      <c r="P3" s="3" t="s">
        <v>307</v>
      </c>
      <c r="Q3" s="3" t="s">
        <v>199</v>
      </c>
      <c r="R3" s="3" t="s">
        <v>200</v>
      </c>
      <c r="S3" s="3" t="s">
        <v>107</v>
      </c>
      <c r="T3" s="6"/>
      <c r="U3" s="6"/>
      <c r="V3" s="6"/>
      <c r="W3" s="6"/>
      <c r="X3" s="7"/>
      <c r="Y3" s="8" t="str">
        <f t="shared" si="0"/>
        <v/>
      </c>
      <c r="Z3" s="6"/>
      <c r="AA3" s="6"/>
      <c r="AB3" s="6"/>
    </row>
    <row r="4" spans="1:28" x14ac:dyDescent="0.3">
      <c r="A4" s="2" t="s">
        <v>345</v>
      </c>
      <c r="B4" s="3" t="s">
        <v>191</v>
      </c>
      <c r="C4" s="3" t="s">
        <v>68</v>
      </c>
      <c r="D4" s="3" t="s">
        <v>69</v>
      </c>
      <c r="E4" s="3" t="s">
        <v>346</v>
      </c>
      <c r="F4" s="3" t="s">
        <v>347</v>
      </c>
      <c r="G4" s="3" t="s">
        <v>184</v>
      </c>
      <c r="H4" s="4" t="s">
        <v>37</v>
      </c>
      <c r="I4" s="3" t="s">
        <v>194</v>
      </c>
      <c r="J4" s="5">
        <v>57840463.520000003</v>
      </c>
      <c r="K4" s="9" t="s">
        <v>37</v>
      </c>
      <c r="L4" s="3" t="s">
        <v>348</v>
      </c>
      <c r="M4" s="3" t="s">
        <v>349</v>
      </c>
      <c r="N4" s="3" t="s">
        <v>350</v>
      </c>
      <c r="O4" s="3" t="s">
        <v>351</v>
      </c>
      <c r="P4" s="3" t="s">
        <v>352</v>
      </c>
      <c r="Q4" s="3" t="s">
        <v>199</v>
      </c>
      <c r="R4" s="3" t="s">
        <v>200</v>
      </c>
      <c r="S4" s="3" t="s">
        <v>107</v>
      </c>
      <c r="T4" s="6"/>
      <c r="U4" s="6"/>
      <c r="V4" s="6"/>
      <c r="W4" s="6"/>
      <c r="X4" s="7"/>
      <c r="Y4" s="8" t="str">
        <f t="shared" si="0"/>
        <v/>
      </c>
      <c r="Z4" s="6"/>
      <c r="AA4" s="6"/>
      <c r="AB4" s="6" t="s">
        <v>353</v>
      </c>
    </row>
    <row r="5" spans="1:28" x14ac:dyDescent="0.3">
      <c r="A5" s="2" t="s">
        <v>354</v>
      </c>
      <c r="B5" s="3" t="s">
        <v>191</v>
      </c>
      <c r="C5" s="3" t="s">
        <v>68</v>
      </c>
      <c r="D5" s="3" t="s">
        <v>69</v>
      </c>
      <c r="E5" s="3" t="s">
        <v>355</v>
      </c>
      <c r="F5" s="3" t="s">
        <v>356</v>
      </c>
      <c r="G5" s="3" t="s">
        <v>36</v>
      </c>
      <c r="H5" s="4" t="s">
        <v>37</v>
      </c>
      <c r="I5" s="3" t="s">
        <v>194</v>
      </c>
      <c r="J5" s="5">
        <v>115632423.58</v>
      </c>
      <c r="K5" s="9" t="s">
        <v>37</v>
      </c>
      <c r="L5" s="3" t="s">
        <v>131</v>
      </c>
      <c r="M5" s="3" t="s">
        <v>357</v>
      </c>
      <c r="N5" s="3" t="s">
        <v>358</v>
      </c>
      <c r="O5" s="3" t="s">
        <v>359</v>
      </c>
      <c r="P5" s="3"/>
      <c r="Q5" s="3" t="s">
        <v>199</v>
      </c>
      <c r="R5" s="3" t="s">
        <v>200</v>
      </c>
      <c r="S5" s="3" t="s">
        <v>107</v>
      </c>
      <c r="T5" s="6"/>
      <c r="U5" s="6"/>
      <c r="V5" s="6"/>
      <c r="W5" s="6"/>
      <c r="X5" s="7"/>
      <c r="Y5" s="8" t="str">
        <f t="shared" si="0"/>
        <v/>
      </c>
      <c r="Z5" s="6"/>
      <c r="AA5" s="6"/>
      <c r="AB5" s="6" t="s">
        <v>360</v>
      </c>
    </row>
    <row r="6" spans="1:28" x14ac:dyDescent="0.3">
      <c r="A6" s="2" t="s">
        <v>361</v>
      </c>
      <c r="B6" s="3" t="s">
        <v>191</v>
      </c>
      <c r="C6" s="3" t="s">
        <v>50</v>
      </c>
      <c r="D6" s="3" t="s">
        <v>58</v>
      </c>
      <c r="E6" s="3" t="s">
        <v>362</v>
      </c>
      <c r="F6" s="3" t="s">
        <v>363</v>
      </c>
      <c r="G6" s="3" t="s">
        <v>36</v>
      </c>
      <c r="H6" s="4" t="s">
        <v>37</v>
      </c>
      <c r="I6" s="3" t="s">
        <v>194</v>
      </c>
      <c r="J6" s="5">
        <v>300724345.82999998</v>
      </c>
      <c r="K6" s="9" t="s">
        <v>37</v>
      </c>
      <c r="L6" s="3" t="s">
        <v>364</v>
      </c>
      <c r="M6" s="3" t="s">
        <v>365</v>
      </c>
      <c r="N6" s="3" t="s">
        <v>366</v>
      </c>
      <c r="O6" s="3"/>
      <c r="P6" s="3"/>
      <c r="Q6" s="3" t="s">
        <v>199</v>
      </c>
      <c r="R6" s="3" t="s">
        <v>200</v>
      </c>
      <c r="S6" s="3" t="s">
        <v>107</v>
      </c>
      <c r="T6" s="6"/>
      <c r="U6" s="6"/>
      <c r="V6" s="6"/>
      <c r="W6" s="6"/>
      <c r="X6" s="7"/>
      <c r="Y6" s="8" t="str">
        <f t="shared" si="0"/>
        <v/>
      </c>
      <c r="Z6" s="6"/>
      <c r="AA6" s="6"/>
      <c r="AB6" s="6"/>
    </row>
    <row r="7" spans="1:28" x14ac:dyDescent="0.3">
      <c r="A7" s="2" t="s">
        <v>190</v>
      </c>
      <c r="B7" s="3" t="s">
        <v>191</v>
      </c>
      <c r="C7" s="3" t="s">
        <v>78</v>
      </c>
      <c r="D7" s="3" t="s">
        <v>79</v>
      </c>
      <c r="E7" s="3" t="s">
        <v>192</v>
      </c>
      <c r="F7" s="3" t="s">
        <v>193</v>
      </c>
      <c r="G7" s="3" t="s">
        <v>112</v>
      </c>
      <c r="H7" s="4" t="s">
        <v>37</v>
      </c>
      <c r="I7" s="3" t="s">
        <v>194</v>
      </c>
      <c r="J7" s="5">
        <v>758266.8</v>
      </c>
      <c r="K7" s="3"/>
      <c r="L7" s="3" t="s">
        <v>195</v>
      </c>
      <c r="M7" s="3" t="s">
        <v>196</v>
      </c>
      <c r="N7" s="3" t="s">
        <v>197</v>
      </c>
      <c r="O7" s="3"/>
      <c r="P7" s="3" t="s">
        <v>198</v>
      </c>
      <c r="Q7" s="3" t="s">
        <v>199</v>
      </c>
      <c r="R7" s="3" t="s">
        <v>200</v>
      </c>
      <c r="S7" s="3" t="s">
        <v>107</v>
      </c>
      <c r="T7" s="6"/>
      <c r="U7" s="6"/>
      <c r="V7" s="6"/>
      <c r="W7" s="6"/>
      <c r="X7" s="7"/>
      <c r="Y7" s="8" t="str">
        <f t="shared" si="0"/>
        <v/>
      </c>
      <c r="Z7" s="6"/>
      <c r="AA7" s="6"/>
      <c r="AB7" s="6"/>
    </row>
    <row r="8" spans="1:28" x14ac:dyDescent="0.3">
      <c r="A8" s="2" t="s">
        <v>201</v>
      </c>
      <c r="B8" s="3" t="s">
        <v>191</v>
      </c>
      <c r="C8" s="3" t="s">
        <v>120</v>
      </c>
      <c r="D8" s="3" t="s">
        <v>121</v>
      </c>
      <c r="E8" s="3" t="s">
        <v>202</v>
      </c>
      <c r="F8" s="3" t="s">
        <v>203</v>
      </c>
      <c r="G8" s="3" t="s">
        <v>112</v>
      </c>
      <c r="H8" s="4" t="s">
        <v>37</v>
      </c>
      <c r="I8" s="3" t="s">
        <v>194</v>
      </c>
      <c r="J8" s="5">
        <v>969463.78</v>
      </c>
      <c r="K8" s="3"/>
      <c r="L8" s="3" t="s">
        <v>204</v>
      </c>
      <c r="M8" s="3" t="s">
        <v>205</v>
      </c>
      <c r="N8" s="3" t="s">
        <v>206</v>
      </c>
      <c r="O8" s="3"/>
      <c r="P8" s="3" t="s">
        <v>207</v>
      </c>
      <c r="Q8" s="3" t="s">
        <v>199</v>
      </c>
      <c r="R8" s="3" t="s">
        <v>200</v>
      </c>
      <c r="S8" s="3" t="s">
        <v>107</v>
      </c>
      <c r="T8" s="6"/>
      <c r="U8" s="6"/>
      <c r="V8" s="6"/>
      <c r="W8" s="6"/>
      <c r="X8" s="7"/>
      <c r="Y8" s="8" t="str">
        <f t="shared" si="0"/>
        <v/>
      </c>
      <c r="Z8" s="6"/>
      <c r="AA8" s="6"/>
      <c r="AB8" s="6"/>
    </row>
    <row r="9" spans="1:28" x14ac:dyDescent="0.3">
      <c r="A9" s="2" t="s">
        <v>208</v>
      </c>
      <c r="B9" s="3" t="s">
        <v>191</v>
      </c>
      <c r="C9" s="3" t="s">
        <v>78</v>
      </c>
      <c r="D9" s="3" t="s">
        <v>79</v>
      </c>
      <c r="E9" s="3" t="s">
        <v>209</v>
      </c>
      <c r="F9" s="3" t="s">
        <v>210</v>
      </c>
      <c r="G9" s="3" t="s">
        <v>112</v>
      </c>
      <c r="H9" s="4" t="s">
        <v>37</v>
      </c>
      <c r="I9" s="3" t="s">
        <v>194</v>
      </c>
      <c r="J9" s="5">
        <v>2250685.08</v>
      </c>
      <c r="K9" s="3"/>
      <c r="L9" s="3" t="s">
        <v>211</v>
      </c>
      <c r="M9" s="3" t="s">
        <v>212</v>
      </c>
      <c r="N9" s="3" t="s">
        <v>213</v>
      </c>
      <c r="O9" s="3"/>
      <c r="P9" s="3" t="s">
        <v>214</v>
      </c>
      <c r="Q9" s="3" t="s">
        <v>199</v>
      </c>
      <c r="R9" s="3" t="s">
        <v>200</v>
      </c>
      <c r="S9" s="3" t="s">
        <v>107</v>
      </c>
      <c r="T9" s="6"/>
      <c r="U9" s="6"/>
      <c r="V9" s="6"/>
      <c r="W9" s="6"/>
      <c r="X9" s="7"/>
      <c r="Y9" s="8" t="str">
        <f t="shared" si="0"/>
        <v/>
      </c>
      <c r="Z9" s="6"/>
      <c r="AA9" s="6"/>
      <c r="AB9" s="6"/>
    </row>
    <row r="10" spans="1:28" x14ac:dyDescent="0.3">
      <c r="A10" s="2" t="s">
        <v>215</v>
      </c>
      <c r="B10" s="3" t="s">
        <v>191</v>
      </c>
      <c r="C10" s="3" t="s">
        <v>216</v>
      </c>
      <c r="D10" s="3" t="s">
        <v>217</v>
      </c>
      <c r="E10" s="3" t="s">
        <v>218</v>
      </c>
      <c r="F10" s="3" t="s">
        <v>219</v>
      </c>
      <c r="G10" s="3" t="s">
        <v>184</v>
      </c>
      <c r="H10" s="4" t="s">
        <v>37</v>
      </c>
      <c r="I10" s="3" t="s">
        <v>194</v>
      </c>
      <c r="J10" s="5">
        <v>2534246.63</v>
      </c>
      <c r="K10" s="3"/>
      <c r="L10" s="3" t="s">
        <v>145</v>
      </c>
      <c r="M10" s="3" t="s">
        <v>220</v>
      </c>
      <c r="N10" s="3" t="s">
        <v>221</v>
      </c>
      <c r="O10" s="3" t="s">
        <v>222</v>
      </c>
      <c r="P10" s="3" t="s">
        <v>223</v>
      </c>
      <c r="Q10" s="3" t="s">
        <v>199</v>
      </c>
      <c r="R10" s="3" t="s">
        <v>200</v>
      </c>
      <c r="S10" s="3" t="s">
        <v>107</v>
      </c>
      <c r="T10" s="6"/>
      <c r="U10" s="6"/>
      <c r="V10" s="6"/>
      <c r="W10" s="6"/>
      <c r="X10" s="7"/>
      <c r="Y10" s="8" t="str">
        <f t="shared" si="0"/>
        <v/>
      </c>
      <c r="Z10" s="6"/>
      <c r="AA10" s="6"/>
      <c r="AB10" s="6" t="s">
        <v>224</v>
      </c>
    </row>
    <row r="11" spans="1:28" x14ac:dyDescent="0.3">
      <c r="A11" s="2" t="s">
        <v>225</v>
      </c>
      <c r="B11" s="3" t="s">
        <v>191</v>
      </c>
      <c r="C11" s="3" t="s">
        <v>50</v>
      </c>
      <c r="D11" s="3" t="s">
        <v>58</v>
      </c>
      <c r="E11" s="3" t="s">
        <v>226</v>
      </c>
      <c r="F11" s="3" t="s">
        <v>227</v>
      </c>
      <c r="G11" s="3" t="s">
        <v>112</v>
      </c>
      <c r="H11" s="4" t="s">
        <v>37</v>
      </c>
      <c r="I11" s="3" t="s">
        <v>194</v>
      </c>
      <c r="J11" s="5">
        <v>3119089.65</v>
      </c>
      <c r="K11" s="3"/>
      <c r="L11" s="3" t="s">
        <v>228</v>
      </c>
      <c r="M11" s="3" t="s">
        <v>229</v>
      </c>
      <c r="N11" s="3" t="s">
        <v>230</v>
      </c>
      <c r="O11" s="3"/>
      <c r="P11" s="3"/>
      <c r="Q11" s="3" t="s">
        <v>199</v>
      </c>
      <c r="R11" s="3" t="s">
        <v>200</v>
      </c>
      <c r="S11" s="3" t="s">
        <v>107</v>
      </c>
      <c r="T11" s="6"/>
      <c r="U11" s="6"/>
      <c r="V11" s="6"/>
      <c r="W11" s="6"/>
      <c r="X11" s="7"/>
      <c r="Y11" s="8" t="str">
        <f t="shared" si="0"/>
        <v/>
      </c>
      <c r="Z11" s="6"/>
      <c r="AA11" s="6"/>
      <c r="AB11" s="6"/>
    </row>
    <row r="12" spans="1:28" x14ac:dyDescent="0.3">
      <c r="A12" s="2" t="s">
        <v>231</v>
      </c>
      <c r="B12" s="3" t="s">
        <v>191</v>
      </c>
      <c r="C12" s="3" t="s">
        <v>68</v>
      </c>
      <c r="D12" s="3" t="s">
        <v>69</v>
      </c>
      <c r="E12" s="3" t="s">
        <v>232</v>
      </c>
      <c r="F12" s="3" t="s">
        <v>233</v>
      </c>
      <c r="G12" s="3" t="s">
        <v>184</v>
      </c>
      <c r="H12" s="4" t="s">
        <v>37</v>
      </c>
      <c r="I12" s="3" t="s">
        <v>194</v>
      </c>
      <c r="J12" s="5">
        <v>3465875.82</v>
      </c>
      <c r="K12" s="3"/>
      <c r="L12" s="3" t="s">
        <v>160</v>
      </c>
      <c r="M12" s="3" t="s">
        <v>234</v>
      </c>
      <c r="N12" s="3" t="s">
        <v>235</v>
      </c>
      <c r="O12" s="3" t="s">
        <v>236</v>
      </c>
      <c r="P12" s="3"/>
      <c r="Q12" s="3" t="s">
        <v>199</v>
      </c>
      <c r="R12" s="3" t="s">
        <v>200</v>
      </c>
      <c r="S12" s="3" t="s">
        <v>107</v>
      </c>
      <c r="T12" s="6"/>
      <c r="U12" s="6"/>
      <c r="V12" s="6"/>
      <c r="W12" s="6"/>
      <c r="X12" s="7"/>
      <c r="Y12" s="8" t="str">
        <f t="shared" si="0"/>
        <v/>
      </c>
      <c r="Z12" s="6"/>
      <c r="AA12" s="6"/>
      <c r="AB12" s="6" t="s">
        <v>237</v>
      </c>
    </row>
    <row r="13" spans="1:28" x14ac:dyDescent="0.3">
      <c r="A13" s="2" t="s">
        <v>238</v>
      </c>
      <c r="B13" s="3" t="s">
        <v>191</v>
      </c>
      <c r="C13" s="3" t="s">
        <v>50</v>
      </c>
      <c r="D13" s="3" t="s">
        <v>58</v>
      </c>
      <c r="E13" s="3" t="s">
        <v>239</v>
      </c>
      <c r="F13" s="3" t="s">
        <v>240</v>
      </c>
      <c r="G13" s="3" t="s">
        <v>112</v>
      </c>
      <c r="H13" s="4" t="s">
        <v>37</v>
      </c>
      <c r="I13" s="3" t="s">
        <v>194</v>
      </c>
      <c r="J13" s="5">
        <v>3620789.76</v>
      </c>
      <c r="K13" s="3"/>
      <c r="L13" s="3" t="s">
        <v>241</v>
      </c>
      <c r="M13" s="3" t="s">
        <v>242</v>
      </c>
      <c r="N13" s="3" t="s">
        <v>243</v>
      </c>
      <c r="O13" s="3"/>
      <c r="P13" s="3"/>
      <c r="Q13" s="3" t="s">
        <v>199</v>
      </c>
      <c r="R13" s="3" t="s">
        <v>200</v>
      </c>
      <c r="S13" s="3" t="s">
        <v>107</v>
      </c>
      <c r="T13" s="6"/>
      <c r="U13" s="6"/>
      <c r="V13" s="6"/>
      <c r="W13" s="6"/>
      <c r="X13" s="7"/>
      <c r="Y13" s="8" t="str">
        <f t="shared" si="0"/>
        <v/>
      </c>
      <c r="Z13" s="6"/>
      <c r="AA13" s="6"/>
      <c r="AB13" s="6"/>
    </row>
    <row r="14" spans="1:28" x14ac:dyDescent="0.3">
      <c r="A14" s="2" t="s">
        <v>244</v>
      </c>
      <c r="B14" s="3" t="s">
        <v>191</v>
      </c>
      <c r="C14" s="3" t="s">
        <v>68</v>
      </c>
      <c r="D14" s="3" t="s">
        <v>69</v>
      </c>
      <c r="E14" s="3" t="s">
        <v>245</v>
      </c>
      <c r="F14" s="3" t="s">
        <v>246</v>
      </c>
      <c r="G14" s="3" t="s">
        <v>112</v>
      </c>
      <c r="H14" s="4" t="s">
        <v>37</v>
      </c>
      <c r="I14" s="3" t="s">
        <v>194</v>
      </c>
      <c r="J14" s="5">
        <v>4633259.43</v>
      </c>
      <c r="K14" s="3"/>
      <c r="L14" s="3" t="s">
        <v>138</v>
      </c>
      <c r="M14" s="3" t="s">
        <v>247</v>
      </c>
      <c r="N14" s="3" t="s">
        <v>248</v>
      </c>
      <c r="O14" s="3"/>
      <c r="P14" s="3"/>
      <c r="Q14" s="3" t="s">
        <v>199</v>
      </c>
      <c r="R14" s="3" t="s">
        <v>200</v>
      </c>
      <c r="S14" s="3" t="s">
        <v>107</v>
      </c>
      <c r="T14" s="6"/>
      <c r="U14" s="6"/>
      <c r="V14" s="6"/>
      <c r="W14" s="6"/>
      <c r="X14" s="7"/>
      <c r="Y14" s="8" t="str">
        <f t="shared" si="0"/>
        <v/>
      </c>
      <c r="Z14" s="6"/>
      <c r="AA14" s="6"/>
      <c r="AB14" s="6"/>
    </row>
    <row r="15" spans="1:28" x14ac:dyDescent="0.3">
      <c r="A15" s="2" t="s">
        <v>256</v>
      </c>
      <c r="B15" s="3" t="s">
        <v>191</v>
      </c>
      <c r="C15" s="3" t="s">
        <v>50</v>
      </c>
      <c r="D15" s="3" t="s">
        <v>58</v>
      </c>
      <c r="E15" s="3" t="s">
        <v>257</v>
      </c>
      <c r="F15" s="3" t="s">
        <v>258</v>
      </c>
      <c r="G15" s="3" t="s">
        <v>72</v>
      </c>
      <c r="H15" s="4" t="s">
        <v>37</v>
      </c>
      <c r="I15" s="3" t="s">
        <v>194</v>
      </c>
      <c r="J15" s="5">
        <v>7735221.0300000003</v>
      </c>
      <c r="K15" s="3"/>
      <c r="L15" s="3" t="s">
        <v>138</v>
      </c>
      <c r="M15" s="3" t="s">
        <v>259</v>
      </c>
      <c r="N15" s="3" t="s">
        <v>260</v>
      </c>
      <c r="O15" s="3"/>
      <c r="P15" s="3" t="s">
        <v>261</v>
      </c>
      <c r="Q15" s="3" t="s">
        <v>199</v>
      </c>
      <c r="R15" s="3" t="s">
        <v>200</v>
      </c>
      <c r="S15" s="3" t="s">
        <v>107</v>
      </c>
      <c r="T15" s="6"/>
      <c r="U15" s="6"/>
      <c r="V15" s="6"/>
      <c r="W15" s="6"/>
      <c r="X15" s="7"/>
      <c r="Y15" s="8" t="str">
        <f t="shared" si="0"/>
        <v/>
      </c>
      <c r="Z15" s="6"/>
      <c r="AA15" s="6"/>
      <c r="AB15" s="6"/>
    </row>
    <row r="16" spans="1:28" x14ac:dyDescent="0.3">
      <c r="A16" s="2" t="s">
        <v>262</v>
      </c>
      <c r="B16" s="3" t="s">
        <v>191</v>
      </c>
      <c r="C16" s="3" t="s">
        <v>263</v>
      </c>
      <c r="D16" s="3" t="s">
        <v>264</v>
      </c>
      <c r="E16" s="3" t="s">
        <v>265</v>
      </c>
      <c r="F16" s="3" t="s">
        <v>266</v>
      </c>
      <c r="G16" s="3" t="s">
        <v>184</v>
      </c>
      <c r="H16" s="4" t="s">
        <v>37</v>
      </c>
      <c r="I16" s="3" t="s">
        <v>194</v>
      </c>
      <c r="J16" s="5">
        <v>8369773.9800000004</v>
      </c>
      <c r="K16" s="3"/>
      <c r="L16" s="3" t="s">
        <v>267</v>
      </c>
      <c r="M16" s="3"/>
      <c r="N16" s="3" t="s">
        <v>268</v>
      </c>
      <c r="O16" s="3"/>
      <c r="P16" s="3" t="s">
        <v>269</v>
      </c>
      <c r="Q16" s="3" t="s">
        <v>199</v>
      </c>
      <c r="R16" s="3" t="s">
        <v>200</v>
      </c>
      <c r="S16" s="3" t="s">
        <v>107</v>
      </c>
      <c r="T16" s="6"/>
      <c r="U16" s="6"/>
      <c r="V16" s="6"/>
      <c r="W16" s="6"/>
      <c r="X16" s="7"/>
      <c r="Y16" s="8" t="str">
        <f t="shared" si="0"/>
        <v/>
      </c>
      <c r="Z16" s="6"/>
      <c r="AA16" s="6"/>
      <c r="AB16" s="6"/>
    </row>
    <row r="17" spans="1:28" x14ac:dyDescent="0.3">
      <c r="A17" s="2" t="s">
        <v>270</v>
      </c>
      <c r="B17" s="3" t="s">
        <v>271</v>
      </c>
      <c r="C17" s="3" t="s">
        <v>272</v>
      </c>
      <c r="D17" s="3" t="s">
        <v>273</v>
      </c>
      <c r="E17" s="3" t="s">
        <v>274</v>
      </c>
      <c r="F17" s="3" t="s">
        <v>275</v>
      </c>
      <c r="G17" s="3" t="s">
        <v>72</v>
      </c>
      <c r="H17" s="4" t="s">
        <v>37</v>
      </c>
      <c r="I17" s="3" t="s">
        <v>194</v>
      </c>
      <c r="J17" s="5">
        <v>8600000</v>
      </c>
      <c r="K17" s="3"/>
      <c r="L17" s="3"/>
      <c r="M17" s="3" t="s">
        <v>276</v>
      </c>
      <c r="N17" s="3" t="s">
        <v>277</v>
      </c>
      <c r="O17" s="3" t="s">
        <v>278</v>
      </c>
      <c r="P17" s="3" t="s">
        <v>279</v>
      </c>
      <c r="Q17" s="3" t="s">
        <v>199</v>
      </c>
      <c r="R17" s="3" t="s">
        <v>200</v>
      </c>
      <c r="S17" s="3" t="s">
        <v>107</v>
      </c>
      <c r="T17" s="6"/>
      <c r="U17" s="6"/>
      <c r="V17" s="6"/>
      <c r="W17" s="6"/>
      <c r="X17" s="7"/>
      <c r="Y17" s="8" t="str">
        <f t="shared" si="0"/>
        <v/>
      </c>
      <c r="Z17" s="6"/>
      <c r="AA17" s="6"/>
      <c r="AB17" s="6" t="s">
        <v>280</v>
      </c>
    </row>
    <row r="18" spans="1:28" x14ac:dyDescent="0.3">
      <c r="A18" s="2" t="s">
        <v>281</v>
      </c>
      <c r="B18" s="3" t="s">
        <v>191</v>
      </c>
      <c r="C18" s="3" t="s">
        <v>68</v>
      </c>
      <c r="D18" s="3" t="s">
        <v>69</v>
      </c>
      <c r="E18" s="3" t="s">
        <v>282</v>
      </c>
      <c r="F18" s="3" t="s">
        <v>283</v>
      </c>
      <c r="G18" s="3" t="s">
        <v>72</v>
      </c>
      <c r="H18" s="4" t="s">
        <v>37</v>
      </c>
      <c r="I18" s="3" t="s">
        <v>194</v>
      </c>
      <c r="J18" s="5">
        <v>11250528.43</v>
      </c>
      <c r="K18" s="3"/>
      <c r="L18" s="3" t="s">
        <v>160</v>
      </c>
      <c r="M18" s="3" t="s">
        <v>284</v>
      </c>
      <c r="N18" s="3" t="s">
        <v>285</v>
      </c>
      <c r="O18" s="3"/>
      <c r="P18" s="3" t="s">
        <v>286</v>
      </c>
      <c r="Q18" s="3" t="s">
        <v>199</v>
      </c>
      <c r="R18" s="3" t="s">
        <v>200</v>
      </c>
      <c r="S18" s="3" t="s">
        <v>107</v>
      </c>
      <c r="T18" s="6"/>
      <c r="U18" s="6"/>
      <c r="V18" s="6"/>
      <c r="W18" s="6"/>
      <c r="X18" s="7"/>
      <c r="Y18" s="8" t="str">
        <f t="shared" si="0"/>
        <v/>
      </c>
      <c r="Z18" s="6"/>
      <c r="AA18" s="6"/>
      <c r="AB18" s="6"/>
    </row>
    <row r="19" spans="1:28" x14ac:dyDescent="0.3">
      <c r="A19" s="2" t="s">
        <v>287</v>
      </c>
      <c r="B19" s="3" t="s">
        <v>191</v>
      </c>
      <c r="C19" s="3" t="s">
        <v>50</v>
      </c>
      <c r="D19" s="3" t="s">
        <v>58</v>
      </c>
      <c r="E19" s="3" t="s">
        <v>288</v>
      </c>
      <c r="F19" s="3" t="s">
        <v>289</v>
      </c>
      <c r="G19" s="3" t="s">
        <v>184</v>
      </c>
      <c r="H19" s="4" t="s">
        <v>37</v>
      </c>
      <c r="I19" s="3" t="s">
        <v>194</v>
      </c>
      <c r="J19" s="5">
        <v>11603299.77</v>
      </c>
      <c r="K19" s="3"/>
      <c r="L19" s="3" t="s">
        <v>290</v>
      </c>
      <c r="M19" s="3" t="s">
        <v>291</v>
      </c>
      <c r="N19" s="3" t="s">
        <v>292</v>
      </c>
      <c r="O19" s="3" t="s">
        <v>293</v>
      </c>
      <c r="P19" s="3"/>
      <c r="Q19" s="3" t="s">
        <v>199</v>
      </c>
      <c r="R19" s="3" t="s">
        <v>200</v>
      </c>
      <c r="S19" s="3" t="s">
        <v>107</v>
      </c>
      <c r="T19" s="6"/>
      <c r="U19" s="6"/>
      <c r="V19" s="6"/>
      <c r="W19" s="6"/>
      <c r="X19" s="7"/>
      <c r="Y19" s="8" t="str">
        <f t="shared" si="0"/>
        <v/>
      </c>
      <c r="Z19" s="6"/>
      <c r="AA19" s="6"/>
      <c r="AB19" s="6" t="s">
        <v>294</v>
      </c>
    </row>
    <row r="20" spans="1:28" x14ac:dyDescent="0.3">
      <c r="A20" s="2" t="s">
        <v>295</v>
      </c>
      <c r="B20" s="3" t="s">
        <v>191</v>
      </c>
      <c r="C20" s="3" t="s">
        <v>68</v>
      </c>
      <c r="D20" s="3" t="s">
        <v>69</v>
      </c>
      <c r="E20" s="3" t="s">
        <v>296</v>
      </c>
      <c r="F20" s="3" t="s">
        <v>297</v>
      </c>
      <c r="G20" s="3" t="s">
        <v>112</v>
      </c>
      <c r="H20" s="4" t="s">
        <v>37</v>
      </c>
      <c r="I20" s="3" t="s">
        <v>194</v>
      </c>
      <c r="J20" s="5">
        <v>16010658.699999999</v>
      </c>
      <c r="K20" s="3"/>
      <c r="L20" s="3" t="s">
        <v>241</v>
      </c>
      <c r="M20" s="3" t="s">
        <v>298</v>
      </c>
      <c r="N20" s="3" t="s">
        <v>299</v>
      </c>
      <c r="O20" s="3"/>
      <c r="P20" s="3" t="s">
        <v>300</v>
      </c>
      <c r="Q20" s="3" t="s">
        <v>199</v>
      </c>
      <c r="R20" s="3" t="s">
        <v>200</v>
      </c>
      <c r="S20" s="3" t="s">
        <v>107</v>
      </c>
      <c r="T20" s="6"/>
      <c r="U20" s="6"/>
      <c r="V20" s="6"/>
      <c r="W20" s="6"/>
      <c r="X20" s="7"/>
      <c r="Y20" s="8" t="str">
        <f t="shared" si="0"/>
        <v/>
      </c>
      <c r="Z20" s="6"/>
      <c r="AA20" s="6"/>
      <c r="AB20" s="6" t="s">
        <v>301</v>
      </c>
    </row>
    <row r="21" spans="1:28" x14ac:dyDescent="0.3">
      <c r="A21" s="2" t="s">
        <v>308</v>
      </c>
      <c r="B21" s="3" t="s">
        <v>191</v>
      </c>
      <c r="C21" s="3" t="s">
        <v>50</v>
      </c>
      <c r="D21" s="3" t="s">
        <v>58</v>
      </c>
      <c r="E21" s="3" t="s">
        <v>309</v>
      </c>
      <c r="F21" s="3" t="s">
        <v>310</v>
      </c>
      <c r="G21" s="3" t="s">
        <v>36</v>
      </c>
      <c r="H21" s="4" t="s">
        <v>37</v>
      </c>
      <c r="I21" s="3" t="s">
        <v>194</v>
      </c>
      <c r="J21" s="5">
        <v>18292027.370000001</v>
      </c>
      <c r="K21" s="3"/>
      <c r="L21" s="3" t="s">
        <v>311</v>
      </c>
      <c r="M21" s="3" t="s">
        <v>312</v>
      </c>
      <c r="N21" s="3" t="s">
        <v>313</v>
      </c>
      <c r="O21" s="3" t="s">
        <v>314</v>
      </c>
      <c r="P21" s="3" t="s">
        <v>315</v>
      </c>
      <c r="Q21" s="3" t="s">
        <v>199</v>
      </c>
      <c r="R21" s="3" t="s">
        <v>200</v>
      </c>
      <c r="S21" s="3" t="s">
        <v>107</v>
      </c>
      <c r="T21" s="6"/>
      <c r="U21" s="6"/>
      <c r="V21" s="6"/>
      <c r="W21" s="6"/>
      <c r="X21" s="7"/>
      <c r="Y21" s="8" t="str">
        <f t="shared" si="0"/>
        <v/>
      </c>
      <c r="Z21" s="6"/>
      <c r="AA21" s="6"/>
      <c r="AB21" s="6" t="s">
        <v>316</v>
      </c>
    </row>
    <row r="22" spans="1:28" x14ac:dyDescent="0.3">
      <c r="A22" s="2" t="s">
        <v>317</v>
      </c>
      <c r="B22" s="3" t="s">
        <v>191</v>
      </c>
      <c r="C22" s="3" t="s">
        <v>50</v>
      </c>
      <c r="D22" s="3" t="s">
        <v>58</v>
      </c>
      <c r="E22" s="3" t="s">
        <v>318</v>
      </c>
      <c r="F22" s="3" t="s">
        <v>319</v>
      </c>
      <c r="G22" s="3" t="s">
        <v>184</v>
      </c>
      <c r="H22" s="4" t="s">
        <v>37</v>
      </c>
      <c r="I22" s="3" t="s">
        <v>194</v>
      </c>
      <c r="J22" s="5">
        <v>19271502.670000002</v>
      </c>
      <c r="K22" s="3"/>
      <c r="L22" s="3" t="s">
        <v>320</v>
      </c>
      <c r="M22" s="3" t="s">
        <v>321</v>
      </c>
      <c r="N22" s="3" t="s">
        <v>322</v>
      </c>
      <c r="O22" s="3"/>
      <c r="P22" s="3"/>
      <c r="Q22" s="3" t="s">
        <v>199</v>
      </c>
      <c r="R22" s="3" t="s">
        <v>200</v>
      </c>
      <c r="S22" s="3" t="s">
        <v>107</v>
      </c>
      <c r="T22" s="6"/>
      <c r="U22" s="6"/>
      <c r="V22" s="6"/>
      <c r="W22" s="6"/>
      <c r="X22" s="7"/>
      <c r="Y22" s="8" t="str">
        <f t="shared" si="0"/>
        <v/>
      </c>
      <c r="Z22" s="6"/>
      <c r="AA22" s="6"/>
      <c r="AB22" s="6"/>
    </row>
    <row r="23" spans="1:28" x14ac:dyDescent="0.3">
      <c r="A23" s="2" t="s">
        <v>323</v>
      </c>
      <c r="B23" s="3" t="s">
        <v>191</v>
      </c>
      <c r="C23" s="3" t="s">
        <v>68</v>
      </c>
      <c r="D23" s="3" t="s">
        <v>173</v>
      </c>
      <c r="E23" s="3" t="s">
        <v>324</v>
      </c>
      <c r="F23" s="3" t="s">
        <v>325</v>
      </c>
      <c r="G23" s="3" t="s">
        <v>184</v>
      </c>
      <c r="H23" s="4" t="s">
        <v>37</v>
      </c>
      <c r="I23" s="3" t="s">
        <v>194</v>
      </c>
      <c r="J23" s="5">
        <v>33406013.309999999</v>
      </c>
      <c r="K23" s="3"/>
      <c r="L23" s="3" t="s">
        <v>138</v>
      </c>
      <c r="M23" s="3" t="s">
        <v>326</v>
      </c>
      <c r="N23" s="3" t="s">
        <v>327</v>
      </c>
      <c r="O23" s="3" t="s">
        <v>328</v>
      </c>
      <c r="P23" s="3"/>
      <c r="Q23" s="3" t="s">
        <v>199</v>
      </c>
      <c r="R23" s="3" t="s">
        <v>200</v>
      </c>
      <c r="S23" s="3" t="s">
        <v>107</v>
      </c>
      <c r="T23" s="6"/>
      <c r="U23" s="6"/>
      <c r="V23" s="6"/>
      <c r="W23" s="6"/>
      <c r="X23" s="7"/>
      <c r="Y23" s="8" t="str">
        <f t="shared" si="0"/>
        <v/>
      </c>
      <c r="Z23" s="6"/>
      <c r="AA23" s="6"/>
      <c r="AB23" s="6" t="s">
        <v>329</v>
      </c>
    </row>
    <row r="24" spans="1:28" x14ac:dyDescent="0.3">
      <c r="A24" s="2" t="s">
        <v>330</v>
      </c>
      <c r="B24" s="3" t="s">
        <v>191</v>
      </c>
      <c r="C24" s="3" t="s">
        <v>68</v>
      </c>
      <c r="D24" s="3" t="s">
        <v>69</v>
      </c>
      <c r="E24" s="3" t="s">
        <v>331</v>
      </c>
      <c r="F24" s="3" t="s">
        <v>332</v>
      </c>
      <c r="G24" s="3" t="s">
        <v>184</v>
      </c>
      <c r="H24" s="4" t="s">
        <v>37</v>
      </c>
      <c r="I24" s="3" t="s">
        <v>194</v>
      </c>
      <c r="J24" s="5">
        <v>44200062.710000001</v>
      </c>
      <c r="K24" s="3"/>
      <c r="L24" s="3" t="s">
        <v>333</v>
      </c>
      <c r="M24" s="3" t="s">
        <v>334</v>
      </c>
      <c r="N24" s="3" t="s">
        <v>335</v>
      </c>
      <c r="O24" s="3"/>
      <c r="P24" s="3"/>
      <c r="Q24" s="3" t="s">
        <v>199</v>
      </c>
      <c r="R24" s="3" t="s">
        <v>200</v>
      </c>
      <c r="S24" s="3" t="s">
        <v>107</v>
      </c>
      <c r="T24" s="6"/>
      <c r="U24" s="6"/>
      <c r="V24" s="6"/>
      <c r="W24" s="6"/>
      <c r="X24" s="7"/>
      <c r="Y24" s="8" t="str">
        <f t="shared" si="0"/>
        <v/>
      </c>
      <c r="Z24" s="6"/>
      <c r="AA24" s="6"/>
      <c r="AB24" s="6"/>
    </row>
    <row r="25" spans="1:28" x14ac:dyDescent="0.3">
      <c r="A25" s="2" t="s">
        <v>336</v>
      </c>
      <c r="B25" s="3" t="s">
        <v>191</v>
      </c>
      <c r="C25" s="3" t="s">
        <v>68</v>
      </c>
      <c r="D25" s="3" t="s">
        <v>69</v>
      </c>
      <c r="E25" s="3" t="s">
        <v>337</v>
      </c>
      <c r="F25" s="3" t="s">
        <v>338</v>
      </c>
      <c r="G25" s="3" t="s">
        <v>184</v>
      </c>
      <c r="H25" s="4" t="s">
        <v>37</v>
      </c>
      <c r="I25" s="3" t="s">
        <v>194</v>
      </c>
      <c r="J25" s="5">
        <v>47163195.729999997</v>
      </c>
      <c r="K25" s="3"/>
      <c r="L25" s="3" t="s">
        <v>339</v>
      </c>
      <c r="M25" s="3" t="s">
        <v>340</v>
      </c>
      <c r="N25" s="3" t="s">
        <v>341</v>
      </c>
      <c r="O25" s="3" t="s">
        <v>342</v>
      </c>
      <c r="P25" s="3" t="s">
        <v>343</v>
      </c>
      <c r="Q25" s="3" t="s">
        <v>199</v>
      </c>
      <c r="R25" s="3" t="s">
        <v>200</v>
      </c>
      <c r="S25" s="3" t="s">
        <v>107</v>
      </c>
      <c r="T25" s="6"/>
      <c r="U25" s="6"/>
      <c r="V25" s="6"/>
      <c r="W25" s="6"/>
      <c r="X25" s="7"/>
      <c r="Y25" s="8" t="str">
        <f t="shared" si="0"/>
        <v/>
      </c>
      <c r="Z25" s="6"/>
      <c r="AA25" s="6"/>
      <c r="AB25" s="6" t="s">
        <v>344</v>
      </c>
    </row>
    <row r="26" spans="1:28" x14ac:dyDescent="0.3">
      <c r="A26" s="2" t="s">
        <v>367</v>
      </c>
      <c r="B26" s="3" t="s">
        <v>271</v>
      </c>
      <c r="C26" s="3" t="s">
        <v>368</v>
      </c>
      <c r="D26" s="3" t="s">
        <v>369</v>
      </c>
      <c r="E26" s="3" t="s">
        <v>370</v>
      </c>
      <c r="F26" s="3" t="s">
        <v>371</v>
      </c>
      <c r="G26" s="3" t="s">
        <v>112</v>
      </c>
      <c r="H26" s="4" t="s">
        <v>37</v>
      </c>
      <c r="I26" s="3" t="s">
        <v>194</v>
      </c>
      <c r="J26" s="5"/>
      <c r="K26" s="3"/>
      <c r="L26" s="3"/>
      <c r="M26" s="3" t="s">
        <v>372</v>
      </c>
      <c r="N26" s="3" t="s">
        <v>373</v>
      </c>
      <c r="O26" s="3" t="s">
        <v>374</v>
      </c>
      <c r="P26" s="3" t="s">
        <v>375</v>
      </c>
      <c r="Q26" s="3" t="s">
        <v>199</v>
      </c>
      <c r="R26" s="3" t="s">
        <v>200</v>
      </c>
      <c r="S26" s="3" t="s">
        <v>107</v>
      </c>
      <c r="T26" s="6"/>
      <c r="U26" s="6"/>
      <c r="V26" s="6"/>
      <c r="W26" s="6"/>
      <c r="X26" s="7"/>
      <c r="Y26" s="8" t="str">
        <f t="shared" si="0"/>
        <v/>
      </c>
      <c r="Z26" s="6"/>
      <c r="AA26" s="6"/>
      <c r="AB26" s="6" t="s">
        <v>376</v>
      </c>
    </row>
    <row r="27" spans="1:28" x14ac:dyDescent="0.3">
      <c r="A27" s="2" t="s">
        <v>377</v>
      </c>
      <c r="B27" s="3" t="s">
        <v>271</v>
      </c>
      <c r="C27" s="3" t="s">
        <v>263</v>
      </c>
      <c r="D27" s="3" t="s">
        <v>264</v>
      </c>
      <c r="E27" s="3" t="s">
        <v>378</v>
      </c>
      <c r="F27" s="3" t="s">
        <v>379</v>
      </c>
      <c r="G27" s="3" t="s">
        <v>72</v>
      </c>
      <c r="H27" s="4" t="s">
        <v>37</v>
      </c>
      <c r="I27" s="3" t="s">
        <v>194</v>
      </c>
      <c r="J27" s="5"/>
      <c r="K27" s="3"/>
      <c r="L27" s="3"/>
      <c r="M27" s="3" t="s">
        <v>380</v>
      </c>
      <c r="N27" s="3" t="s">
        <v>381</v>
      </c>
      <c r="O27" s="3"/>
      <c r="P27" s="3"/>
      <c r="Q27" s="3" t="s">
        <v>199</v>
      </c>
      <c r="R27" s="3" t="s">
        <v>200</v>
      </c>
      <c r="S27" s="3" t="s">
        <v>107</v>
      </c>
      <c r="T27" s="6"/>
      <c r="U27" s="6"/>
      <c r="V27" s="6"/>
      <c r="W27" s="6"/>
      <c r="X27" s="7"/>
      <c r="Y27" s="8" t="str">
        <f t="shared" si="0"/>
        <v/>
      </c>
      <c r="Z27" s="6"/>
      <c r="AA27" s="6"/>
      <c r="AB27" s="6" t="s">
        <v>382</v>
      </c>
    </row>
  </sheetData>
  <autoFilter ref="A1:AB2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6B7F"/>
  </sheetPr>
  <dimension ref="A1:Q8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2" customWidth="1"/>
    <col min="2" max="2" width="10" customWidth="1"/>
    <col min="3" max="3" width="12" customWidth="1"/>
    <col min="4" max="4" width="5" customWidth="1"/>
    <col min="5" max="5" width="15" customWidth="1"/>
    <col min="6" max="6" width="14" customWidth="1"/>
    <col min="7" max="7" width="30" customWidth="1"/>
    <col min="8" max="8" width="46" customWidth="1"/>
    <col min="9" max="9" width="18" customWidth="1"/>
    <col min="10" max="10" width="14" customWidth="1"/>
    <col min="11" max="11" width="24" customWidth="1"/>
    <col min="12" max="12" width="14" customWidth="1"/>
    <col min="13" max="14" width="12" customWidth="1"/>
    <col min="15" max="15" width="16" customWidth="1"/>
    <col min="16" max="16" width="18" customWidth="1"/>
    <col min="17" max="17" width="28" customWidth="1"/>
  </cols>
  <sheetData>
    <row r="1" spans="1:17" x14ac:dyDescent="0.3">
      <c r="A1" s="10" t="s">
        <v>383</v>
      </c>
      <c r="B1" s="10" t="s">
        <v>384</v>
      </c>
      <c r="C1" s="10" t="s">
        <v>385</v>
      </c>
      <c r="D1" s="10" t="s">
        <v>3</v>
      </c>
      <c r="E1" s="10" t="s">
        <v>4</v>
      </c>
      <c r="F1" s="10" t="s">
        <v>13</v>
      </c>
      <c r="G1" s="10" t="s">
        <v>14</v>
      </c>
      <c r="H1" s="10" t="s">
        <v>386</v>
      </c>
      <c r="I1" s="10" t="s">
        <v>20</v>
      </c>
      <c r="J1" s="10" t="s">
        <v>21</v>
      </c>
      <c r="K1" s="10" t="s">
        <v>22</v>
      </c>
      <c r="L1" s="10" t="s">
        <v>23</v>
      </c>
      <c r="M1" s="10" t="s">
        <v>24</v>
      </c>
      <c r="N1" s="10" t="s">
        <v>25</v>
      </c>
      <c r="O1" s="10" t="s">
        <v>26</v>
      </c>
      <c r="P1" s="10" t="s">
        <v>27</v>
      </c>
      <c r="Q1" s="10" t="s">
        <v>28</v>
      </c>
    </row>
    <row r="2" spans="1:17" x14ac:dyDescent="0.3">
      <c r="A2" s="2" t="s">
        <v>387</v>
      </c>
      <c r="B2" s="3" t="s">
        <v>388</v>
      </c>
      <c r="C2" s="3">
        <v>650</v>
      </c>
      <c r="D2" s="3" t="s">
        <v>216</v>
      </c>
      <c r="E2" s="3" t="s">
        <v>389</v>
      </c>
      <c r="F2" s="3" t="s">
        <v>390</v>
      </c>
      <c r="G2" s="3"/>
      <c r="H2" s="3" t="s">
        <v>391</v>
      </c>
      <c r="I2" s="6"/>
      <c r="J2" s="6"/>
      <c r="K2" s="6"/>
      <c r="L2" s="6"/>
      <c r="M2" s="7"/>
      <c r="N2" s="8" t="str">
        <f t="shared" ref="N2:N33" si="0">IF(M2="","",WORKDAY(M2,5))</f>
        <v/>
      </c>
      <c r="O2" s="6"/>
      <c r="P2" s="6"/>
      <c r="Q2" s="6"/>
    </row>
    <row r="3" spans="1:17" x14ac:dyDescent="0.3">
      <c r="A3" s="2" t="s">
        <v>392</v>
      </c>
      <c r="B3" s="3" t="s">
        <v>393</v>
      </c>
      <c r="C3" s="3">
        <v>490</v>
      </c>
      <c r="D3" s="3" t="s">
        <v>120</v>
      </c>
      <c r="E3" s="3" t="s">
        <v>394</v>
      </c>
      <c r="F3" s="3" t="s">
        <v>395</v>
      </c>
      <c r="G3" s="3"/>
      <c r="H3" s="3" t="s">
        <v>391</v>
      </c>
      <c r="I3" s="6"/>
      <c r="J3" s="6"/>
      <c r="K3" s="6"/>
      <c r="L3" s="6"/>
      <c r="M3" s="7"/>
      <c r="N3" s="8" t="str">
        <f t="shared" si="0"/>
        <v/>
      </c>
      <c r="O3" s="6"/>
      <c r="P3" s="6"/>
      <c r="Q3" s="6"/>
    </row>
    <row r="4" spans="1:17" x14ac:dyDescent="0.3">
      <c r="A4" s="2" t="s">
        <v>396</v>
      </c>
      <c r="B4" s="3" t="s">
        <v>393</v>
      </c>
      <c r="C4" s="3">
        <v>414</v>
      </c>
      <c r="D4" s="3" t="s">
        <v>50</v>
      </c>
      <c r="E4" s="3" t="s">
        <v>58</v>
      </c>
      <c r="F4" s="3" t="s">
        <v>397</v>
      </c>
      <c r="G4" s="3"/>
      <c r="H4" s="3" t="s">
        <v>391</v>
      </c>
      <c r="I4" s="6"/>
      <c r="J4" s="6"/>
      <c r="K4" s="6"/>
      <c r="L4" s="6"/>
      <c r="M4" s="7"/>
      <c r="N4" s="8" t="str">
        <f t="shared" si="0"/>
        <v/>
      </c>
      <c r="O4" s="6"/>
      <c r="P4" s="6"/>
      <c r="Q4" s="6"/>
    </row>
    <row r="5" spans="1:17" x14ac:dyDescent="0.3">
      <c r="A5" s="2" t="s">
        <v>398</v>
      </c>
      <c r="B5" s="3" t="s">
        <v>393</v>
      </c>
      <c r="C5" s="3">
        <v>257</v>
      </c>
      <c r="D5" s="3" t="s">
        <v>50</v>
      </c>
      <c r="E5" s="3" t="s">
        <v>58</v>
      </c>
      <c r="F5" s="3" t="s">
        <v>399</v>
      </c>
      <c r="G5" s="3"/>
      <c r="H5" s="3" t="s">
        <v>391</v>
      </c>
      <c r="I5" s="6"/>
      <c r="J5" s="6"/>
      <c r="K5" s="6"/>
      <c r="L5" s="6"/>
      <c r="M5" s="7"/>
      <c r="N5" s="8" t="str">
        <f t="shared" si="0"/>
        <v/>
      </c>
      <c r="O5" s="6"/>
      <c r="P5" s="6"/>
      <c r="Q5" s="6"/>
    </row>
    <row r="6" spans="1:17" x14ac:dyDescent="0.3">
      <c r="A6" s="2" t="s">
        <v>400</v>
      </c>
      <c r="B6" s="3" t="s">
        <v>393</v>
      </c>
      <c r="C6" s="3">
        <v>229</v>
      </c>
      <c r="D6" s="3" t="s">
        <v>68</v>
      </c>
      <c r="E6" s="3" t="s">
        <v>69</v>
      </c>
      <c r="F6" s="3" t="s">
        <v>401</v>
      </c>
      <c r="G6" s="3"/>
      <c r="H6" s="3" t="s">
        <v>391</v>
      </c>
      <c r="I6" s="6"/>
      <c r="J6" s="6"/>
      <c r="K6" s="6"/>
      <c r="L6" s="6"/>
      <c r="M6" s="7"/>
      <c r="N6" s="8" t="str">
        <f t="shared" si="0"/>
        <v/>
      </c>
      <c r="O6" s="6"/>
      <c r="P6" s="6"/>
      <c r="Q6" s="6"/>
    </row>
    <row r="7" spans="1:17" x14ac:dyDescent="0.3">
      <c r="A7" s="2" t="s">
        <v>402</v>
      </c>
      <c r="B7" s="3" t="s">
        <v>388</v>
      </c>
      <c r="C7" s="3">
        <v>114</v>
      </c>
      <c r="D7" s="3" t="s">
        <v>68</v>
      </c>
      <c r="E7" s="3" t="s">
        <v>69</v>
      </c>
      <c r="F7" s="3" t="s">
        <v>403</v>
      </c>
      <c r="G7" s="3"/>
      <c r="H7" s="3" t="s">
        <v>391</v>
      </c>
      <c r="I7" s="6"/>
      <c r="J7" s="6"/>
      <c r="K7" s="6"/>
      <c r="L7" s="6"/>
      <c r="M7" s="7"/>
      <c r="N7" s="8" t="str">
        <f t="shared" si="0"/>
        <v/>
      </c>
      <c r="O7" s="6"/>
      <c r="P7" s="6"/>
      <c r="Q7" s="6"/>
    </row>
    <row r="8" spans="1:17" x14ac:dyDescent="0.3">
      <c r="A8" s="2" t="s">
        <v>404</v>
      </c>
      <c r="B8" s="3" t="s">
        <v>388</v>
      </c>
      <c r="C8" s="3">
        <v>66</v>
      </c>
      <c r="D8" s="3" t="s">
        <v>68</v>
      </c>
      <c r="E8" s="3" t="s">
        <v>69</v>
      </c>
      <c r="F8" s="3" t="s">
        <v>405</v>
      </c>
      <c r="G8" s="3"/>
      <c r="H8" s="3" t="s">
        <v>391</v>
      </c>
      <c r="I8" s="6"/>
      <c r="J8" s="6"/>
      <c r="K8" s="6"/>
      <c r="L8" s="6"/>
      <c r="M8" s="7"/>
      <c r="N8" s="8" t="str">
        <f t="shared" si="0"/>
        <v/>
      </c>
      <c r="O8" s="6"/>
      <c r="P8" s="6"/>
      <c r="Q8" s="6"/>
    </row>
    <row r="9" spans="1:17" x14ac:dyDescent="0.3">
      <c r="A9" s="2" t="s">
        <v>406</v>
      </c>
      <c r="B9" s="3" t="s">
        <v>388</v>
      </c>
      <c r="C9" s="3">
        <v>63</v>
      </c>
      <c r="D9" s="3"/>
      <c r="E9" s="3"/>
      <c r="F9" s="3"/>
      <c r="G9" s="3"/>
      <c r="H9" s="3" t="s">
        <v>391</v>
      </c>
      <c r="I9" s="6"/>
      <c r="J9" s="6"/>
      <c r="K9" s="6"/>
      <c r="L9" s="6"/>
      <c r="M9" s="7"/>
      <c r="N9" s="8" t="str">
        <f t="shared" si="0"/>
        <v/>
      </c>
      <c r="O9" s="6"/>
      <c r="P9" s="6"/>
      <c r="Q9" s="6"/>
    </row>
    <row r="10" spans="1:17" x14ac:dyDescent="0.3">
      <c r="A10" s="2" t="s">
        <v>407</v>
      </c>
      <c r="B10" s="3" t="s">
        <v>393</v>
      </c>
      <c r="C10" s="3">
        <v>49</v>
      </c>
      <c r="D10" s="3" t="s">
        <v>78</v>
      </c>
      <c r="E10" s="3" t="s">
        <v>79</v>
      </c>
      <c r="F10" s="3" t="s">
        <v>408</v>
      </c>
      <c r="G10" s="3"/>
      <c r="H10" s="3" t="s">
        <v>391</v>
      </c>
      <c r="I10" s="6"/>
      <c r="J10" s="6"/>
      <c r="K10" s="6"/>
      <c r="L10" s="6"/>
      <c r="M10" s="7"/>
      <c r="N10" s="8" t="str">
        <f t="shared" si="0"/>
        <v/>
      </c>
      <c r="O10" s="6"/>
      <c r="P10" s="6"/>
      <c r="Q10" s="6"/>
    </row>
    <row r="11" spans="1:17" x14ac:dyDescent="0.3">
      <c r="A11" s="2" t="s">
        <v>409</v>
      </c>
      <c r="B11" s="3" t="s">
        <v>393</v>
      </c>
      <c r="C11" s="3">
        <v>49</v>
      </c>
      <c r="D11" s="3" t="s">
        <v>68</v>
      </c>
      <c r="E11" s="3" t="s">
        <v>410</v>
      </c>
      <c r="F11" s="3" t="s">
        <v>411</v>
      </c>
      <c r="G11" s="3"/>
      <c r="H11" s="3" t="s">
        <v>391</v>
      </c>
      <c r="I11" s="6"/>
      <c r="J11" s="6"/>
      <c r="K11" s="6"/>
      <c r="L11" s="6"/>
      <c r="M11" s="7"/>
      <c r="N11" s="8" t="str">
        <f t="shared" si="0"/>
        <v/>
      </c>
      <c r="O11" s="6"/>
      <c r="P11" s="6"/>
      <c r="Q11" s="6"/>
    </row>
    <row r="12" spans="1:17" x14ac:dyDescent="0.3">
      <c r="A12" s="2" t="s">
        <v>412</v>
      </c>
      <c r="B12" s="3" t="s">
        <v>393</v>
      </c>
      <c r="C12" s="3">
        <v>48</v>
      </c>
      <c r="D12" s="3" t="s">
        <v>272</v>
      </c>
      <c r="E12" s="3" t="s">
        <v>273</v>
      </c>
      <c r="F12" s="3" t="s">
        <v>413</v>
      </c>
      <c r="G12" s="3"/>
      <c r="H12" s="3" t="s">
        <v>391</v>
      </c>
      <c r="I12" s="6"/>
      <c r="J12" s="6"/>
      <c r="K12" s="6"/>
      <c r="L12" s="6"/>
      <c r="M12" s="7"/>
      <c r="N12" s="8" t="str">
        <f t="shared" si="0"/>
        <v/>
      </c>
      <c r="O12" s="6"/>
      <c r="P12" s="6"/>
      <c r="Q12" s="6"/>
    </row>
    <row r="13" spans="1:17" x14ac:dyDescent="0.3">
      <c r="A13" s="2" t="s">
        <v>414</v>
      </c>
      <c r="B13" s="3" t="s">
        <v>393</v>
      </c>
      <c r="C13" s="3">
        <v>44</v>
      </c>
      <c r="D13" s="3" t="s">
        <v>78</v>
      </c>
      <c r="E13" s="3" t="s">
        <v>79</v>
      </c>
      <c r="F13" s="3" t="s">
        <v>415</v>
      </c>
      <c r="G13" s="3"/>
      <c r="H13" s="3" t="s">
        <v>391</v>
      </c>
      <c r="I13" s="6"/>
      <c r="J13" s="6"/>
      <c r="K13" s="6"/>
      <c r="L13" s="6"/>
      <c r="M13" s="7"/>
      <c r="N13" s="8" t="str">
        <f t="shared" si="0"/>
        <v/>
      </c>
      <c r="O13" s="6"/>
      <c r="P13" s="6"/>
      <c r="Q13" s="6"/>
    </row>
    <row r="14" spans="1:17" x14ac:dyDescent="0.3">
      <c r="A14" s="2" t="s">
        <v>416</v>
      </c>
      <c r="B14" s="3" t="s">
        <v>388</v>
      </c>
      <c r="C14" s="3">
        <v>26</v>
      </c>
      <c r="D14" s="3" t="s">
        <v>50</v>
      </c>
      <c r="E14" s="3" t="s">
        <v>58</v>
      </c>
      <c r="F14" s="3" t="s">
        <v>417</v>
      </c>
      <c r="G14" s="3"/>
      <c r="H14" s="3" t="s">
        <v>391</v>
      </c>
      <c r="I14" s="6"/>
      <c r="J14" s="6"/>
      <c r="K14" s="6"/>
      <c r="L14" s="6"/>
      <c r="M14" s="7"/>
      <c r="N14" s="8" t="str">
        <f t="shared" si="0"/>
        <v/>
      </c>
      <c r="O14" s="6"/>
      <c r="P14" s="6"/>
      <c r="Q14" s="6"/>
    </row>
    <row r="15" spans="1:17" x14ac:dyDescent="0.3">
      <c r="A15" s="2" t="s">
        <v>418</v>
      </c>
      <c r="B15" s="3" t="s">
        <v>393</v>
      </c>
      <c r="C15" s="3">
        <v>25</v>
      </c>
      <c r="D15" s="3" t="s">
        <v>120</v>
      </c>
      <c r="E15" s="3" t="s">
        <v>121</v>
      </c>
      <c r="F15" s="3" t="s">
        <v>419</v>
      </c>
      <c r="G15" s="3"/>
      <c r="H15" s="3" t="s">
        <v>391</v>
      </c>
      <c r="I15" s="6"/>
      <c r="J15" s="6"/>
      <c r="K15" s="6"/>
      <c r="L15" s="6"/>
      <c r="M15" s="7"/>
      <c r="N15" s="8" t="str">
        <f t="shared" si="0"/>
        <v/>
      </c>
      <c r="O15" s="6"/>
      <c r="P15" s="6"/>
      <c r="Q15" s="6"/>
    </row>
    <row r="16" spans="1:17" x14ac:dyDescent="0.3">
      <c r="A16" s="2" t="s">
        <v>420</v>
      </c>
      <c r="B16" s="3" t="s">
        <v>388</v>
      </c>
      <c r="C16" s="3">
        <v>25</v>
      </c>
      <c r="D16" s="3" t="s">
        <v>78</v>
      </c>
      <c r="E16" s="3" t="s">
        <v>79</v>
      </c>
      <c r="F16" s="3" t="s">
        <v>421</v>
      </c>
      <c r="G16" s="3"/>
      <c r="H16" s="3" t="s">
        <v>391</v>
      </c>
      <c r="I16" s="6"/>
      <c r="J16" s="6"/>
      <c r="K16" s="6"/>
      <c r="L16" s="6"/>
      <c r="M16" s="7"/>
      <c r="N16" s="8" t="str">
        <f t="shared" si="0"/>
        <v/>
      </c>
      <c r="O16" s="6"/>
      <c r="P16" s="6"/>
      <c r="Q16" s="6"/>
    </row>
    <row r="17" spans="1:17" x14ac:dyDescent="0.3">
      <c r="A17" s="2" t="s">
        <v>422</v>
      </c>
      <c r="B17" s="3" t="s">
        <v>388</v>
      </c>
      <c r="C17" s="3">
        <v>18</v>
      </c>
      <c r="D17" s="3" t="s">
        <v>68</v>
      </c>
      <c r="E17" s="3" t="s">
        <v>69</v>
      </c>
      <c r="F17" s="3" t="s">
        <v>423</v>
      </c>
      <c r="G17" s="3"/>
      <c r="H17" s="3" t="s">
        <v>391</v>
      </c>
      <c r="I17" s="6"/>
      <c r="J17" s="6"/>
      <c r="K17" s="6"/>
      <c r="L17" s="6"/>
      <c r="M17" s="7"/>
      <c r="N17" s="8" t="str">
        <f t="shared" si="0"/>
        <v/>
      </c>
      <c r="O17" s="6"/>
      <c r="P17" s="6"/>
      <c r="Q17" s="6"/>
    </row>
    <row r="18" spans="1:17" x14ac:dyDescent="0.3">
      <c r="A18" s="2" t="s">
        <v>424</v>
      </c>
      <c r="B18" s="3" t="s">
        <v>388</v>
      </c>
      <c r="C18" s="3">
        <v>17</v>
      </c>
      <c r="D18" s="3" t="s">
        <v>78</v>
      </c>
      <c r="E18" s="3" t="s">
        <v>425</v>
      </c>
      <c r="F18" s="3" t="s">
        <v>426</v>
      </c>
      <c r="G18" s="3"/>
      <c r="H18" s="3" t="s">
        <v>391</v>
      </c>
      <c r="I18" s="6"/>
      <c r="J18" s="6"/>
      <c r="K18" s="6"/>
      <c r="L18" s="6"/>
      <c r="M18" s="7"/>
      <c r="N18" s="8" t="str">
        <f t="shared" si="0"/>
        <v/>
      </c>
      <c r="O18" s="6"/>
      <c r="P18" s="6"/>
      <c r="Q18" s="6"/>
    </row>
    <row r="19" spans="1:17" x14ac:dyDescent="0.3">
      <c r="A19" s="2" t="s">
        <v>427</v>
      </c>
      <c r="B19" s="3" t="s">
        <v>393</v>
      </c>
      <c r="C19" s="3">
        <v>17</v>
      </c>
      <c r="D19" s="3" t="s">
        <v>50</v>
      </c>
      <c r="E19" s="3" t="s">
        <v>58</v>
      </c>
      <c r="F19" s="3" t="s">
        <v>428</v>
      </c>
      <c r="G19" s="3"/>
      <c r="H19" s="3" t="s">
        <v>391</v>
      </c>
      <c r="I19" s="6"/>
      <c r="J19" s="6"/>
      <c r="K19" s="6"/>
      <c r="L19" s="6"/>
      <c r="M19" s="7"/>
      <c r="N19" s="8" t="str">
        <f t="shared" si="0"/>
        <v/>
      </c>
      <c r="O19" s="6"/>
      <c r="P19" s="6"/>
      <c r="Q19" s="6"/>
    </row>
    <row r="20" spans="1:17" x14ac:dyDescent="0.3">
      <c r="A20" s="2" t="s">
        <v>429</v>
      </c>
      <c r="B20" s="3" t="s">
        <v>388</v>
      </c>
      <c r="C20" s="3">
        <v>17</v>
      </c>
      <c r="D20" s="3" t="s">
        <v>68</v>
      </c>
      <c r="E20" s="3" t="s">
        <v>69</v>
      </c>
      <c r="F20" s="3" t="s">
        <v>430</v>
      </c>
      <c r="G20" s="3"/>
      <c r="H20" s="3" t="s">
        <v>391</v>
      </c>
      <c r="I20" s="6"/>
      <c r="J20" s="6"/>
      <c r="K20" s="6"/>
      <c r="L20" s="6"/>
      <c r="M20" s="7"/>
      <c r="N20" s="8" t="str">
        <f t="shared" si="0"/>
        <v/>
      </c>
      <c r="O20" s="6"/>
      <c r="P20" s="6"/>
      <c r="Q20" s="6"/>
    </row>
    <row r="21" spans="1:17" x14ac:dyDescent="0.3">
      <c r="A21" s="2" t="s">
        <v>431</v>
      </c>
      <c r="B21" s="3" t="s">
        <v>388</v>
      </c>
      <c r="C21" s="3">
        <v>12</v>
      </c>
      <c r="D21" s="3" t="s">
        <v>263</v>
      </c>
      <c r="E21" s="3" t="s">
        <v>264</v>
      </c>
      <c r="F21" s="3" t="s">
        <v>432</v>
      </c>
      <c r="G21" s="3"/>
      <c r="H21" s="3" t="s">
        <v>391</v>
      </c>
      <c r="I21" s="6"/>
      <c r="J21" s="6"/>
      <c r="K21" s="6"/>
      <c r="L21" s="6"/>
      <c r="M21" s="7"/>
      <c r="N21" s="8" t="str">
        <f t="shared" si="0"/>
        <v/>
      </c>
      <c r="O21" s="6"/>
      <c r="P21" s="6"/>
      <c r="Q21" s="6"/>
    </row>
    <row r="22" spans="1:17" x14ac:dyDescent="0.3">
      <c r="A22" s="2" t="s">
        <v>433</v>
      </c>
      <c r="B22" s="3" t="s">
        <v>388</v>
      </c>
      <c r="C22" s="3">
        <v>9</v>
      </c>
      <c r="D22" s="3" t="s">
        <v>50</v>
      </c>
      <c r="E22" s="3" t="s">
        <v>58</v>
      </c>
      <c r="F22" s="3" t="s">
        <v>434</v>
      </c>
      <c r="G22" s="3"/>
      <c r="H22" s="3" t="s">
        <v>391</v>
      </c>
      <c r="I22" s="6"/>
      <c r="J22" s="6"/>
      <c r="K22" s="6"/>
      <c r="L22" s="6"/>
      <c r="M22" s="7"/>
      <c r="N22" s="8" t="str">
        <f t="shared" si="0"/>
        <v/>
      </c>
      <c r="O22" s="6"/>
      <c r="P22" s="6"/>
      <c r="Q22" s="6"/>
    </row>
    <row r="23" spans="1:17" x14ac:dyDescent="0.3">
      <c r="A23" s="2" t="s">
        <v>435</v>
      </c>
      <c r="B23" s="3" t="s">
        <v>388</v>
      </c>
      <c r="C23" s="3">
        <v>8</v>
      </c>
      <c r="D23" s="3" t="s">
        <v>263</v>
      </c>
      <c r="E23" s="3" t="s">
        <v>264</v>
      </c>
      <c r="F23" s="3" t="s">
        <v>436</v>
      </c>
      <c r="G23" s="3"/>
      <c r="H23" s="3" t="s">
        <v>391</v>
      </c>
      <c r="I23" s="6"/>
      <c r="J23" s="6"/>
      <c r="K23" s="6"/>
      <c r="L23" s="6"/>
      <c r="M23" s="7"/>
      <c r="N23" s="8" t="str">
        <f t="shared" si="0"/>
        <v/>
      </c>
      <c r="O23" s="6"/>
      <c r="P23" s="6"/>
      <c r="Q23" s="6"/>
    </row>
    <row r="24" spans="1:17" x14ac:dyDescent="0.3">
      <c r="A24" s="2" t="s">
        <v>437</v>
      </c>
      <c r="B24" s="3" t="s">
        <v>388</v>
      </c>
      <c r="C24" s="3">
        <v>8</v>
      </c>
      <c r="D24" s="3" t="s">
        <v>272</v>
      </c>
      <c r="E24" s="3" t="s">
        <v>273</v>
      </c>
      <c r="F24" s="3" t="s">
        <v>438</v>
      </c>
      <c r="G24" s="3"/>
      <c r="H24" s="3" t="s">
        <v>391</v>
      </c>
      <c r="I24" s="6"/>
      <c r="J24" s="6"/>
      <c r="K24" s="6"/>
      <c r="L24" s="6"/>
      <c r="M24" s="7"/>
      <c r="N24" s="8" t="str">
        <f t="shared" si="0"/>
        <v/>
      </c>
      <c r="O24" s="6"/>
      <c r="P24" s="6"/>
      <c r="Q24" s="6"/>
    </row>
    <row r="25" spans="1:17" x14ac:dyDescent="0.3">
      <c r="A25" s="2" t="s">
        <v>439</v>
      </c>
      <c r="B25" s="3" t="s">
        <v>388</v>
      </c>
      <c r="C25" s="3">
        <v>8</v>
      </c>
      <c r="D25" s="3" t="s">
        <v>68</v>
      </c>
      <c r="E25" s="3" t="s">
        <v>69</v>
      </c>
      <c r="F25" s="3" t="s">
        <v>440</v>
      </c>
      <c r="G25" s="3"/>
      <c r="H25" s="3" t="s">
        <v>391</v>
      </c>
      <c r="I25" s="6"/>
      <c r="J25" s="6"/>
      <c r="K25" s="6"/>
      <c r="L25" s="6"/>
      <c r="M25" s="7"/>
      <c r="N25" s="8" t="str">
        <f t="shared" si="0"/>
        <v/>
      </c>
      <c r="O25" s="6"/>
      <c r="P25" s="6"/>
      <c r="Q25" s="6"/>
    </row>
    <row r="26" spans="1:17" x14ac:dyDescent="0.3">
      <c r="A26" s="2" t="s">
        <v>441</v>
      </c>
      <c r="B26" s="3" t="s">
        <v>388</v>
      </c>
      <c r="C26" s="3">
        <v>7</v>
      </c>
      <c r="D26" s="3" t="s">
        <v>68</v>
      </c>
      <c r="E26" s="3" t="s">
        <v>69</v>
      </c>
      <c r="F26" s="3" t="s">
        <v>442</v>
      </c>
      <c r="G26" s="3"/>
      <c r="H26" s="3" t="s">
        <v>391</v>
      </c>
      <c r="I26" s="6"/>
      <c r="J26" s="6"/>
      <c r="K26" s="6"/>
      <c r="L26" s="6"/>
      <c r="M26" s="7"/>
      <c r="N26" s="8" t="str">
        <f t="shared" si="0"/>
        <v/>
      </c>
      <c r="O26" s="6"/>
      <c r="P26" s="6"/>
      <c r="Q26" s="6"/>
    </row>
    <row r="27" spans="1:17" x14ac:dyDescent="0.3">
      <c r="A27" s="2" t="s">
        <v>443</v>
      </c>
      <c r="B27" s="3" t="s">
        <v>393</v>
      </c>
      <c r="C27" s="3">
        <v>7</v>
      </c>
      <c r="D27" s="3" t="s">
        <v>120</v>
      </c>
      <c r="E27" s="3" t="s">
        <v>121</v>
      </c>
      <c r="F27" s="3" t="s">
        <v>444</v>
      </c>
      <c r="G27" s="3"/>
      <c r="H27" s="3" t="s">
        <v>391</v>
      </c>
      <c r="I27" s="6"/>
      <c r="J27" s="6"/>
      <c r="K27" s="6"/>
      <c r="L27" s="6"/>
      <c r="M27" s="7"/>
      <c r="N27" s="8" t="str">
        <f t="shared" si="0"/>
        <v/>
      </c>
      <c r="O27" s="6"/>
      <c r="P27" s="6"/>
      <c r="Q27" s="6"/>
    </row>
    <row r="28" spans="1:17" x14ac:dyDescent="0.3">
      <c r="A28" s="2" t="s">
        <v>445</v>
      </c>
      <c r="B28" s="3" t="s">
        <v>388</v>
      </c>
      <c r="C28" s="3">
        <v>6</v>
      </c>
      <c r="D28" s="3"/>
      <c r="E28" s="3"/>
      <c r="F28" s="3"/>
      <c r="G28" s="3"/>
      <c r="H28" s="3" t="s">
        <v>391</v>
      </c>
      <c r="I28" s="6"/>
      <c r="J28" s="6"/>
      <c r="K28" s="6"/>
      <c r="L28" s="6"/>
      <c r="M28" s="7"/>
      <c r="N28" s="8" t="str">
        <f t="shared" si="0"/>
        <v/>
      </c>
      <c r="O28" s="6"/>
      <c r="P28" s="6"/>
      <c r="Q28" s="6"/>
    </row>
    <row r="29" spans="1:17" x14ac:dyDescent="0.3">
      <c r="A29" s="2" t="s">
        <v>446</v>
      </c>
      <c r="B29" s="3" t="s">
        <v>388</v>
      </c>
      <c r="C29" s="3">
        <v>5</v>
      </c>
      <c r="D29" s="3"/>
      <c r="E29" s="3"/>
      <c r="F29" s="3"/>
      <c r="G29" s="3"/>
      <c r="H29" s="3" t="s">
        <v>391</v>
      </c>
      <c r="I29" s="6"/>
      <c r="J29" s="6"/>
      <c r="K29" s="6"/>
      <c r="L29" s="6"/>
      <c r="M29" s="7"/>
      <c r="N29" s="8" t="str">
        <f t="shared" si="0"/>
        <v/>
      </c>
      <c r="O29" s="6"/>
      <c r="P29" s="6"/>
      <c r="Q29" s="6"/>
    </row>
    <row r="30" spans="1:17" x14ac:dyDescent="0.3">
      <c r="A30" s="2" t="s">
        <v>447</v>
      </c>
      <c r="B30" s="3" t="s">
        <v>393</v>
      </c>
      <c r="C30" s="3">
        <v>5</v>
      </c>
      <c r="D30" s="3" t="s">
        <v>263</v>
      </c>
      <c r="E30" s="3" t="s">
        <v>264</v>
      </c>
      <c r="F30" s="3" t="s">
        <v>448</v>
      </c>
      <c r="G30" s="3"/>
      <c r="H30" s="3" t="s">
        <v>391</v>
      </c>
      <c r="I30" s="6"/>
      <c r="J30" s="6"/>
      <c r="K30" s="6"/>
      <c r="L30" s="6"/>
      <c r="M30" s="7"/>
      <c r="N30" s="8" t="str">
        <f t="shared" si="0"/>
        <v/>
      </c>
      <c r="O30" s="6"/>
      <c r="P30" s="6"/>
      <c r="Q30" s="6"/>
    </row>
    <row r="31" spans="1:17" x14ac:dyDescent="0.3">
      <c r="A31" s="2" t="s">
        <v>449</v>
      </c>
      <c r="B31" s="3" t="s">
        <v>388</v>
      </c>
      <c r="C31" s="3">
        <v>5</v>
      </c>
      <c r="D31" s="3" t="s">
        <v>50</v>
      </c>
      <c r="E31" s="3" t="s">
        <v>58</v>
      </c>
      <c r="F31" s="3" t="s">
        <v>450</v>
      </c>
      <c r="G31" s="3"/>
      <c r="H31" s="3" t="s">
        <v>391</v>
      </c>
      <c r="I31" s="6"/>
      <c r="J31" s="6"/>
      <c r="K31" s="6"/>
      <c r="L31" s="6"/>
      <c r="M31" s="7"/>
      <c r="N31" s="8" t="str">
        <f t="shared" si="0"/>
        <v/>
      </c>
      <c r="O31" s="6"/>
      <c r="P31" s="6"/>
      <c r="Q31" s="6"/>
    </row>
    <row r="32" spans="1:17" x14ac:dyDescent="0.3">
      <c r="A32" s="2" t="s">
        <v>451</v>
      </c>
      <c r="B32" s="3" t="s">
        <v>393</v>
      </c>
      <c r="C32" s="3">
        <v>5</v>
      </c>
      <c r="D32" s="3" t="s">
        <v>216</v>
      </c>
      <c r="E32" s="3" t="s">
        <v>452</v>
      </c>
      <c r="F32" s="3" t="s">
        <v>453</v>
      </c>
      <c r="G32" s="3"/>
      <c r="H32" s="3" t="s">
        <v>391</v>
      </c>
      <c r="I32" s="6"/>
      <c r="J32" s="6"/>
      <c r="K32" s="6"/>
      <c r="L32" s="6"/>
      <c r="M32" s="7"/>
      <c r="N32" s="8" t="str">
        <f t="shared" si="0"/>
        <v/>
      </c>
      <c r="O32" s="6"/>
      <c r="P32" s="6"/>
      <c r="Q32" s="6"/>
    </row>
    <row r="33" spans="1:17" x14ac:dyDescent="0.3">
      <c r="A33" s="2" t="s">
        <v>454</v>
      </c>
      <c r="B33" s="3" t="s">
        <v>388</v>
      </c>
      <c r="C33" s="3">
        <v>5</v>
      </c>
      <c r="D33" s="3" t="s">
        <v>68</v>
      </c>
      <c r="E33" s="3" t="s">
        <v>69</v>
      </c>
      <c r="F33" s="3" t="s">
        <v>455</v>
      </c>
      <c r="G33" s="3"/>
      <c r="H33" s="3" t="s">
        <v>391</v>
      </c>
      <c r="I33" s="6"/>
      <c r="J33" s="6"/>
      <c r="K33" s="6"/>
      <c r="L33" s="6"/>
      <c r="M33" s="7"/>
      <c r="N33" s="8" t="str">
        <f t="shared" si="0"/>
        <v/>
      </c>
      <c r="O33" s="6"/>
      <c r="P33" s="6"/>
      <c r="Q33" s="6"/>
    </row>
    <row r="34" spans="1:17" x14ac:dyDescent="0.3">
      <c r="A34" s="2" t="s">
        <v>456</v>
      </c>
      <c r="B34" s="3" t="s">
        <v>393</v>
      </c>
      <c r="C34" s="3">
        <v>4</v>
      </c>
      <c r="D34" s="3" t="s">
        <v>68</v>
      </c>
      <c r="E34" s="3" t="s">
        <v>173</v>
      </c>
      <c r="F34" s="3" t="s">
        <v>457</v>
      </c>
      <c r="G34" s="3"/>
      <c r="H34" s="3" t="s">
        <v>391</v>
      </c>
      <c r="I34" s="6"/>
      <c r="J34" s="6"/>
      <c r="K34" s="6"/>
      <c r="L34" s="6"/>
      <c r="M34" s="7"/>
      <c r="N34" s="8" t="str">
        <f t="shared" ref="N34:N65" si="1">IF(M34="","",WORKDAY(M34,5))</f>
        <v/>
      </c>
      <c r="O34" s="6"/>
      <c r="P34" s="6"/>
      <c r="Q34" s="6"/>
    </row>
    <row r="35" spans="1:17" x14ac:dyDescent="0.3">
      <c r="A35" s="2" t="s">
        <v>458</v>
      </c>
      <c r="B35" s="3" t="s">
        <v>388</v>
      </c>
      <c r="C35" s="3">
        <v>4</v>
      </c>
      <c r="D35" s="3" t="s">
        <v>68</v>
      </c>
      <c r="E35" s="3" t="s">
        <v>459</v>
      </c>
      <c r="F35" s="3" t="s">
        <v>460</v>
      </c>
      <c r="G35" s="3"/>
      <c r="H35" s="3" t="s">
        <v>391</v>
      </c>
      <c r="I35" s="6"/>
      <c r="J35" s="6"/>
      <c r="K35" s="6"/>
      <c r="L35" s="6"/>
      <c r="M35" s="7"/>
      <c r="N35" s="8" t="str">
        <f t="shared" si="1"/>
        <v/>
      </c>
      <c r="O35" s="6"/>
      <c r="P35" s="6"/>
      <c r="Q35" s="6"/>
    </row>
    <row r="36" spans="1:17" x14ac:dyDescent="0.3">
      <c r="A36" s="2" t="s">
        <v>461</v>
      </c>
      <c r="B36" s="3" t="s">
        <v>388</v>
      </c>
      <c r="C36" s="3">
        <v>4</v>
      </c>
      <c r="D36" s="3"/>
      <c r="E36" s="3"/>
      <c r="F36" s="3"/>
      <c r="G36" s="3"/>
      <c r="H36" s="3" t="s">
        <v>391</v>
      </c>
      <c r="I36" s="6"/>
      <c r="J36" s="6"/>
      <c r="K36" s="6"/>
      <c r="L36" s="6"/>
      <c r="M36" s="7"/>
      <c r="N36" s="8" t="str">
        <f t="shared" si="1"/>
        <v/>
      </c>
      <c r="O36" s="6"/>
      <c r="P36" s="6"/>
      <c r="Q36" s="6"/>
    </row>
    <row r="37" spans="1:17" x14ac:dyDescent="0.3">
      <c r="A37" s="2" t="s">
        <v>462</v>
      </c>
      <c r="B37" s="3" t="s">
        <v>388</v>
      </c>
      <c r="C37" s="3">
        <v>4</v>
      </c>
      <c r="D37" s="3"/>
      <c r="E37" s="3"/>
      <c r="F37" s="3"/>
      <c r="G37" s="3"/>
      <c r="H37" s="3" t="s">
        <v>391</v>
      </c>
      <c r="I37" s="6"/>
      <c r="J37" s="6"/>
      <c r="K37" s="6"/>
      <c r="L37" s="6"/>
      <c r="M37" s="7"/>
      <c r="N37" s="8" t="str">
        <f t="shared" si="1"/>
        <v/>
      </c>
      <c r="O37" s="6"/>
      <c r="P37" s="6"/>
      <c r="Q37" s="6"/>
    </row>
    <row r="38" spans="1:17" x14ac:dyDescent="0.3">
      <c r="A38" s="2" t="s">
        <v>463</v>
      </c>
      <c r="B38" s="3" t="s">
        <v>388</v>
      </c>
      <c r="C38" s="3">
        <v>3</v>
      </c>
      <c r="D38" s="3" t="s">
        <v>68</v>
      </c>
      <c r="E38" s="3" t="s">
        <v>69</v>
      </c>
      <c r="F38" s="3" t="s">
        <v>464</v>
      </c>
      <c r="G38" s="3"/>
      <c r="H38" s="3" t="s">
        <v>391</v>
      </c>
      <c r="I38" s="6"/>
      <c r="J38" s="6"/>
      <c r="K38" s="6"/>
      <c r="L38" s="6"/>
      <c r="M38" s="7"/>
      <c r="N38" s="8" t="str">
        <f t="shared" si="1"/>
        <v/>
      </c>
      <c r="O38" s="6"/>
      <c r="P38" s="6"/>
      <c r="Q38" s="6"/>
    </row>
    <row r="39" spans="1:17" x14ac:dyDescent="0.3">
      <c r="A39" s="2" t="s">
        <v>465</v>
      </c>
      <c r="B39" s="3" t="s">
        <v>388</v>
      </c>
      <c r="C39" s="3">
        <v>3</v>
      </c>
      <c r="D39" s="3"/>
      <c r="E39" s="3"/>
      <c r="F39" s="3"/>
      <c r="G39" s="3"/>
      <c r="H39" s="3" t="s">
        <v>391</v>
      </c>
      <c r="I39" s="6"/>
      <c r="J39" s="6"/>
      <c r="K39" s="6"/>
      <c r="L39" s="6"/>
      <c r="M39" s="7"/>
      <c r="N39" s="8" t="str">
        <f t="shared" si="1"/>
        <v/>
      </c>
      <c r="O39" s="6"/>
      <c r="P39" s="6"/>
      <c r="Q39" s="6"/>
    </row>
    <row r="40" spans="1:17" x14ac:dyDescent="0.3">
      <c r="A40" s="2" t="s">
        <v>466</v>
      </c>
      <c r="B40" s="3" t="s">
        <v>388</v>
      </c>
      <c r="C40" s="3">
        <v>3</v>
      </c>
      <c r="D40" s="3" t="s">
        <v>68</v>
      </c>
      <c r="E40" s="3" t="s">
        <v>69</v>
      </c>
      <c r="F40" s="3" t="s">
        <v>467</v>
      </c>
      <c r="G40" s="3"/>
      <c r="H40" s="3" t="s">
        <v>391</v>
      </c>
      <c r="I40" s="6"/>
      <c r="J40" s="6"/>
      <c r="K40" s="6"/>
      <c r="L40" s="6"/>
      <c r="M40" s="7"/>
      <c r="N40" s="8" t="str">
        <f t="shared" si="1"/>
        <v/>
      </c>
      <c r="O40" s="6"/>
      <c r="P40" s="6"/>
      <c r="Q40" s="6"/>
    </row>
    <row r="41" spans="1:17" x14ac:dyDescent="0.3">
      <c r="A41" s="2" t="s">
        <v>468</v>
      </c>
      <c r="B41" s="3" t="s">
        <v>388</v>
      </c>
      <c r="C41" s="3">
        <v>3</v>
      </c>
      <c r="D41" s="3" t="s">
        <v>78</v>
      </c>
      <c r="E41" s="3" t="s">
        <v>469</v>
      </c>
      <c r="F41" s="3"/>
      <c r="G41" s="3"/>
      <c r="H41" s="3" t="s">
        <v>391</v>
      </c>
      <c r="I41" s="6"/>
      <c r="J41" s="6"/>
      <c r="K41" s="6"/>
      <c r="L41" s="6"/>
      <c r="M41" s="7"/>
      <c r="N41" s="8" t="str">
        <f t="shared" si="1"/>
        <v/>
      </c>
      <c r="O41" s="6"/>
      <c r="P41" s="6"/>
      <c r="Q41" s="6"/>
    </row>
    <row r="42" spans="1:17" x14ac:dyDescent="0.3">
      <c r="A42" s="2" t="s">
        <v>470</v>
      </c>
      <c r="B42" s="3" t="s">
        <v>388</v>
      </c>
      <c r="C42" s="3">
        <v>3</v>
      </c>
      <c r="D42" s="3" t="s">
        <v>50</v>
      </c>
      <c r="E42" s="3" t="s">
        <v>58</v>
      </c>
      <c r="F42" s="3" t="s">
        <v>450</v>
      </c>
      <c r="G42" s="3"/>
      <c r="H42" s="3" t="s">
        <v>391</v>
      </c>
      <c r="I42" s="6"/>
      <c r="J42" s="6"/>
      <c r="K42" s="6"/>
      <c r="L42" s="6"/>
      <c r="M42" s="7"/>
      <c r="N42" s="8" t="str">
        <f t="shared" si="1"/>
        <v/>
      </c>
      <c r="O42" s="6"/>
      <c r="P42" s="6"/>
      <c r="Q42" s="6"/>
    </row>
    <row r="43" spans="1:17" x14ac:dyDescent="0.3">
      <c r="A43" s="2" t="s">
        <v>471</v>
      </c>
      <c r="B43" s="3" t="s">
        <v>388</v>
      </c>
      <c r="C43" s="3">
        <v>3</v>
      </c>
      <c r="D43" s="3" t="s">
        <v>78</v>
      </c>
      <c r="E43" s="3" t="s">
        <v>79</v>
      </c>
      <c r="F43" s="3" t="s">
        <v>472</v>
      </c>
      <c r="G43" s="3"/>
      <c r="H43" s="3" t="s">
        <v>391</v>
      </c>
      <c r="I43" s="6"/>
      <c r="J43" s="6"/>
      <c r="K43" s="6"/>
      <c r="L43" s="6"/>
      <c r="M43" s="7"/>
      <c r="N43" s="8" t="str">
        <f t="shared" si="1"/>
        <v/>
      </c>
      <c r="O43" s="6"/>
      <c r="P43" s="6"/>
      <c r="Q43" s="6"/>
    </row>
    <row r="44" spans="1:17" x14ac:dyDescent="0.3">
      <c r="A44" s="2" t="s">
        <v>473</v>
      </c>
      <c r="B44" s="3" t="s">
        <v>388</v>
      </c>
      <c r="C44" s="3">
        <v>3</v>
      </c>
      <c r="D44" s="3"/>
      <c r="E44" s="3"/>
      <c r="F44" s="3"/>
      <c r="G44" s="3"/>
      <c r="H44" s="3" t="s">
        <v>391</v>
      </c>
      <c r="I44" s="6"/>
      <c r="J44" s="6"/>
      <c r="K44" s="6"/>
      <c r="L44" s="6"/>
      <c r="M44" s="7"/>
      <c r="N44" s="8" t="str">
        <f t="shared" si="1"/>
        <v/>
      </c>
      <c r="O44" s="6"/>
      <c r="P44" s="6"/>
      <c r="Q44" s="6"/>
    </row>
    <row r="45" spans="1:17" x14ac:dyDescent="0.3">
      <c r="A45" s="2" t="s">
        <v>474</v>
      </c>
      <c r="B45" s="3" t="s">
        <v>388</v>
      </c>
      <c r="C45" s="3">
        <v>3</v>
      </c>
      <c r="D45" s="3" t="s">
        <v>50</v>
      </c>
      <c r="E45" s="3" t="s">
        <v>58</v>
      </c>
      <c r="F45" s="3" t="s">
        <v>475</v>
      </c>
      <c r="G45" s="3"/>
      <c r="H45" s="3" t="s">
        <v>391</v>
      </c>
      <c r="I45" s="6"/>
      <c r="J45" s="6"/>
      <c r="K45" s="6"/>
      <c r="L45" s="6"/>
      <c r="M45" s="7"/>
      <c r="N45" s="8" t="str">
        <f t="shared" si="1"/>
        <v/>
      </c>
      <c r="O45" s="6"/>
      <c r="P45" s="6"/>
      <c r="Q45" s="6"/>
    </row>
    <row r="46" spans="1:17" x14ac:dyDescent="0.3">
      <c r="A46" s="2" t="s">
        <v>476</v>
      </c>
      <c r="B46" s="3" t="s">
        <v>388</v>
      </c>
      <c r="C46" s="3">
        <v>3</v>
      </c>
      <c r="D46" s="3" t="s">
        <v>477</v>
      </c>
      <c r="E46" s="3" t="s">
        <v>478</v>
      </c>
      <c r="F46" s="3" t="s">
        <v>479</v>
      </c>
      <c r="G46" s="3"/>
      <c r="H46" s="3" t="s">
        <v>391</v>
      </c>
      <c r="I46" s="6"/>
      <c r="J46" s="6"/>
      <c r="K46" s="6"/>
      <c r="L46" s="6"/>
      <c r="M46" s="7"/>
      <c r="N46" s="8" t="str">
        <f t="shared" si="1"/>
        <v/>
      </c>
      <c r="O46" s="6"/>
      <c r="P46" s="6"/>
      <c r="Q46" s="6"/>
    </row>
    <row r="47" spans="1:17" x14ac:dyDescent="0.3">
      <c r="A47" s="2" t="s">
        <v>480</v>
      </c>
      <c r="B47" s="3" t="s">
        <v>388</v>
      </c>
      <c r="C47" s="3">
        <v>2</v>
      </c>
      <c r="D47" s="3" t="s">
        <v>68</v>
      </c>
      <c r="E47" s="3" t="s">
        <v>481</v>
      </c>
      <c r="F47" s="3" t="s">
        <v>482</v>
      </c>
      <c r="G47" s="3"/>
      <c r="H47" s="3" t="s">
        <v>391</v>
      </c>
      <c r="I47" s="6"/>
      <c r="J47" s="6"/>
      <c r="K47" s="6"/>
      <c r="L47" s="6"/>
      <c r="M47" s="7"/>
      <c r="N47" s="8" t="str">
        <f t="shared" si="1"/>
        <v/>
      </c>
      <c r="O47" s="6"/>
      <c r="P47" s="6"/>
      <c r="Q47" s="6"/>
    </row>
    <row r="48" spans="1:17" x14ac:dyDescent="0.3">
      <c r="A48" s="2" t="s">
        <v>483</v>
      </c>
      <c r="B48" s="3" t="s">
        <v>393</v>
      </c>
      <c r="C48" s="3">
        <v>2</v>
      </c>
      <c r="D48" s="3" t="s">
        <v>50</v>
      </c>
      <c r="E48" s="3" t="s">
        <v>58</v>
      </c>
      <c r="F48" s="3" t="s">
        <v>484</v>
      </c>
      <c r="G48" s="3"/>
      <c r="H48" s="3" t="s">
        <v>391</v>
      </c>
      <c r="I48" s="6"/>
      <c r="J48" s="6"/>
      <c r="K48" s="6"/>
      <c r="L48" s="6"/>
      <c r="M48" s="7"/>
      <c r="N48" s="8" t="str">
        <f t="shared" si="1"/>
        <v/>
      </c>
      <c r="O48" s="6"/>
      <c r="P48" s="6"/>
      <c r="Q48" s="6"/>
    </row>
    <row r="49" spans="1:17" x14ac:dyDescent="0.3">
      <c r="A49" s="2" t="s">
        <v>485</v>
      </c>
      <c r="B49" s="3" t="s">
        <v>388</v>
      </c>
      <c r="C49" s="3">
        <v>2</v>
      </c>
      <c r="D49" s="3" t="s">
        <v>68</v>
      </c>
      <c r="E49" s="3" t="s">
        <v>69</v>
      </c>
      <c r="F49" s="3" t="s">
        <v>486</v>
      </c>
      <c r="G49" s="3"/>
      <c r="H49" s="3" t="s">
        <v>391</v>
      </c>
      <c r="I49" s="6"/>
      <c r="J49" s="6"/>
      <c r="K49" s="6"/>
      <c r="L49" s="6"/>
      <c r="M49" s="7"/>
      <c r="N49" s="8" t="str">
        <f t="shared" si="1"/>
        <v/>
      </c>
      <c r="O49" s="6"/>
      <c r="P49" s="6"/>
      <c r="Q49" s="6"/>
    </row>
    <row r="50" spans="1:17" x14ac:dyDescent="0.3">
      <c r="A50" s="2" t="s">
        <v>487</v>
      </c>
      <c r="B50" s="3" t="s">
        <v>388</v>
      </c>
      <c r="C50" s="3">
        <v>2</v>
      </c>
      <c r="D50" s="3" t="s">
        <v>78</v>
      </c>
      <c r="E50" s="3" t="s">
        <v>488</v>
      </c>
      <c r="F50" s="3" t="s">
        <v>489</v>
      </c>
      <c r="G50" s="3"/>
      <c r="H50" s="3" t="s">
        <v>391</v>
      </c>
      <c r="I50" s="6"/>
      <c r="J50" s="6"/>
      <c r="K50" s="6"/>
      <c r="L50" s="6"/>
      <c r="M50" s="7"/>
      <c r="N50" s="8" t="str">
        <f t="shared" si="1"/>
        <v/>
      </c>
      <c r="O50" s="6"/>
      <c r="P50" s="6"/>
      <c r="Q50" s="6"/>
    </row>
    <row r="51" spans="1:17" x14ac:dyDescent="0.3">
      <c r="A51" s="2" t="s">
        <v>490</v>
      </c>
      <c r="B51" s="3" t="s">
        <v>393</v>
      </c>
      <c r="C51" s="3">
        <v>2</v>
      </c>
      <c r="D51" s="3" t="s">
        <v>68</v>
      </c>
      <c r="E51" s="3" t="s">
        <v>491</v>
      </c>
      <c r="F51" s="3" t="s">
        <v>492</v>
      </c>
      <c r="G51" s="3"/>
      <c r="H51" s="3" t="s">
        <v>391</v>
      </c>
      <c r="I51" s="6"/>
      <c r="J51" s="6"/>
      <c r="K51" s="6"/>
      <c r="L51" s="6"/>
      <c r="M51" s="7"/>
      <c r="N51" s="8" t="str">
        <f t="shared" si="1"/>
        <v/>
      </c>
      <c r="O51" s="6"/>
      <c r="P51" s="6"/>
      <c r="Q51" s="6"/>
    </row>
    <row r="52" spans="1:17" x14ac:dyDescent="0.3">
      <c r="A52" s="2" t="s">
        <v>493</v>
      </c>
      <c r="B52" s="3" t="s">
        <v>393</v>
      </c>
      <c r="C52" s="3">
        <v>2</v>
      </c>
      <c r="D52" s="3" t="s">
        <v>263</v>
      </c>
      <c r="E52" s="3" t="s">
        <v>264</v>
      </c>
      <c r="F52" s="3" t="s">
        <v>494</v>
      </c>
      <c r="G52" s="3"/>
      <c r="H52" s="3" t="s">
        <v>391</v>
      </c>
      <c r="I52" s="6"/>
      <c r="J52" s="6"/>
      <c r="K52" s="6"/>
      <c r="L52" s="6"/>
      <c r="M52" s="7"/>
      <c r="N52" s="8" t="str">
        <f t="shared" si="1"/>
        <v/>
      </c>
      <c r="O52" s="6"/>
      <c r="P52" s="6"/>
      <c r="Q52" s="6"/>
    </row>
    <row r="53" spans="1:17" x14ac:dyDescent="0.3">
      <c r="A53" s="2" t="s">
        <v>495</v>
      </c>
      <c r="B53" s="3" t="s">
        <v>388</v>
      </c>
      <c r="C53" s="3">
        <v>2</v>
      </c>
      <c r="D53" s="3" t="s">
        <v>68</v>
      </c>
      <c r="E53" s="3" t="s">
        <v>69</v>
      </c>
      <c r="F53" s="3" t="s">
        <v>496</v>
      </c>
      <c r="G53" s="3"/>
      <c r="H53" s="3" t="s">
        <v>391</v>
      </c>
      <c r="I53" s="6"/>
      <c r="J53" s="6"/>
      <c r="K53" s="6"/>
      <c r="L53" s="6"/>
      <c r="M53" s="7"/>
      <c r="N53" s="8" t="str">
        <f t="shared" si="1"/>
        <v/>
      </c>
      <c r="O53" s="6"/>
      <c r="P53" s="6"/>
      <c r="Q53" s="6"/>
    </row>
    <row r="54" spans="1:17" x14ac:dyDescent="0.3">
      <c r="A54" s="2" t="s">
        <v>497</v>
      </c>
      <c r="B54" s="3" t="s">
        <v>388</v>
      </c>
      <c r="C54" s="3">
        <v>2</v>
      </c>
      <c r="D54" s="3"/>
      <c r="E54" s="3"/>
      <c r="F54" s="3"/>
      <c r="G54" s="3"/>
      <c r="H54" s="3" t="s">
        <v>391</v>
      </c>
      <c r="I54" s="6"/>
      <c r="J54" s="6"/>
      <c r="K54" s="6"/>
      <c r="L54" s="6"/>
      <c r="M54" s="7"/>
      <c r="N54" s="8" t="str">
        <f t="shared" si="1"/>
        <v/>
      </c>
      <c r="O54" s="6"/>
      <c r="P54" s="6"/>
      <c r="Q54" s="6"/>
    </row>
    <row r="55" spans="1:17" x14ac:dyDescent="0.3">
      <c r="A55" s="2" t="s">
        <v>498</v>
      </c>
      <c r="B55" s="3" t="s">
        <v>388</v>
      </c>
      <c r="C55" s="3">
        <v>2</v>
      </c>
      <c r="D55" s="3"/>
      <c r="E55" s="3"/>
      <c r="F55" s="3"/>
      <c r="G55" s="3"/>
      <c r="H55" s="3" t="s">
        <v>391</v>
      </c>
      <c r="I55" s="6"/>
      <c r="J55" s="6"/>
      <c r="K55" s="6"/>
      <c r="L55" s="6"/>
      <c r="M55" s="7"/>
      <c r="N55" s="8" t="str">
        <f t="shared" si="1"/>
        <v/>
      </c>
      <c r="O55" s="6"/>
      <c r="P55" s="6"/>
      <c r="Q55" s="6"/>
    </row>
    <row r="56" spans="1:17" x14ac:dyDescent="0.3">
      <c r="A56" s="2" t="s">
        <v>499</v>
      </c>
      <c r="B56" s="3" t="s">
        <v>388</v>
      </c>
      <c r="C56" s="3">
        <v>2</v>
      </c>
      <c r="D56" s="3" t="s">
        <v>50</v>
      </c>
      <c r="E56" s="3" t="s">
        <v>58</v>
      </c>
      <c r="F56" s="3" t="s">
        <v>500</v>
      </c>
      <c r="G56" s="3"/>
      <c r="H56" s="3" t="s">
        <v>391</v>
      </c>
      <c r="I56" s="6"/>
      <c r="J56" s="6"/>
      <c r="K56" s="6"/>
      <c r="L56" s="6"/>
      <c r="M56" s="7"/>
      <c r="N56" s="8" t="str">
        <f t="shared" si="1"/>
        <v/>
      </c>
      <c r="O56" s="6"/>
      <c r="P56" s="6"/>
      <c r="Q56" s="6"/>
    </row>
    <row r="57" spans="1:17" x14ac:dyDescent="0.3">
      <c r="A57" s="2" t="s">
        <v>501</v>
      </c>
      <c r="B57" s="3" t="s">
        <v>388</v>
      </c>
      <c r="C57" s="3">
        <v>2</v>
      </c>
      <c r="D57" s="3"/>
      <c r="E57" s="3"/>
      <c r="F57" s="3"/>
      <c r="G57" s="3"/>
      <c r="H57" s="3" t="s">
        <v>391</v>
      </c>
      <c r="I57" s="6"/>
      <c r="J57" s="6"/>
      <c r="K57" s="6"/>
      <c r="L57" s="6"/>
      <c r="M57" s="7"/>
      <c r="N57" s="8" t="str">
        <f t="shared" si="1"/>
        <v/>
      </c>
      <c r="O57" s="6"/>
      <c r="P57" s="6"/>
      <c r="Q57" s="6"/>
    </row>
    <row r="58" spans="1:17" x14ac:dyDescent="0.3">
      <c r="A58" s="2" t="s">
        <v>502</v>
      </c>
      <c r="B58" s="3" t="s">
        <v>388</v>
      </c>
      <c r="C58" s="3">
        <v>2</v>
      </c>
      <c r="D58" s="3" t="s">
        <v>68</v>
      </c>
      <c r="E58" s="3" t="s">
        <v>69</v>
      </c>
      <c r="F58" s="3" t="s">
        <v>503</v>
      </c>
      <c r="G58" s="3"/>
      <c r="H58" s="3" t="s">
        <v>391</v>
      </c>
      <c r="I58" s="6"/>
      <c r="J58" s="6"/>
      <c r="K58" s="6"/>
      <c r="L58" s="6"/>
      <c r="M58" s="7"/>
      <c r="N58" s="8" t="str">
        <f t="shared" si="1"/>
        <v/>
      </c>
      <c r="O58" s="6"/>
      <c r="P58" s="6"/>
      <c r="Q58" s="6"/>
    </row>
    <row r="59" spans="1:17" x14ac:dyDescent="0.3">
      <c r="A59" s="2" t="s">
        <v>504</v>
      </c>
      <c r="B59" s="3" t="s">
        <v>388</v>
      </c>
      <c r="C59" s="3">
        <v>1</v>
      </c>
      <c r="D59" s="3" t="s">
        <v>263</v>
      </c>
      <c r="E59" s="3" t="s">
        <v>264</v>
      </c>
      <c r="F59" s="3" t="s">
        <v>505</v>
      </c>
      <c r="G59" s="3"/>
      <c r="H59" s="3" t="s">
        <v>391</v>
      </c>
      <c r="I59" s="6"/>
      <c r="J59" s="6"/>
      <c r="K59" s="6"/>
      <c r="L59" s="6"/>
      <c r="M59" s="7"/>
      <c r="N59" s="8" t="str">
        <f t="shared" si="1"/>
        <v/>
      </c>
      <c r="O59" s="6"/>
      <c r="P59" s="6"/>
      <c r="Q59" s="6"/>
    </row>
    <row r="60" spans="1:17" x14ac:dyDescent="0.3">
      <c r="A60" s="2" t="s">
        <v>506</v>
      </c>
      <c r="B60" s="3" t="s">
        <v>388</v>
      </c>
      <c r="C60" s="3">
        <v>1</v>
      </c>
      <c r="D60" s="3" t="s">
        <v>50</v>
      </c>
      <c r="E60" s="3" t="s">
        <v>58</v>
      </c>
      <c r="F60" s="3" t="s">
        <v>507</v>
      </c>
      <c r="G60" s="3"/>
      <c r="H60" s="3" t="s">
        <v>391</v>
      </c>
      <c r="I60" s="6"/>
      <c r="J60" s="6"/>
      <c r="K60" s="6"/>
      <c r="L60" s="6"/>
      <c r="M60" s="7"/>
      <c r="N60" s="8" t="str">
        <f t="shared" si="1"/>
        <v/>
      </c>
      <c r="O60" s="6"/>
      <c r="P60" s="6"/>
      <c r="Q60" s="6"/>
    </row>
    <row r="61" spans="1:17" x14ac:dyDescent="0.3">
      <c r="A61" s="2" t="s">
        <v>508</v>
      </c>
      <c r="B61" s="3" t="s">
        <v>388</v>
      </c>
      <c r="C61" s="3">
        <v>1</v>
      </c>
      <c r="D61" s="3" t="s">
        <v>68</v>
      </c>
      <c r="E61" s="3" t="s">
        <v>509</v>
      </c>
      <c r="F61" s="3" t="s">
        <v>510</v>
      </c>
      <c r="G61" s="3"/>
      <c r="H61" s="3" t="s">
        <v>391</v>
      </c>
      <c r="I61" s="6"/>
      <c r="J61" s="6"/>
      <c r="K61" s="6"/>
      <c r="L61" s="6"/>
      <c r="M61" s="7"/>
      <c r="N61" s="8" t="str">
        <f t="shared" si="1"/>
        <v/>
      </c>
      <c r="O61" s="6"/>
      <c r="P61" s="6"/>
      <c r="Q61" s="6"/>
    </row>
    <row r="62" spans="1:17" x14ac:dyDescent="0.3">
      <c r="A62" s="2" t="s">
        <v>511</v>
      </c>
      <c r="B62" s="3" t="s">
        <v>388</v>
      </c>
      <c r="C62" s="3">
        <v>1</v>
      </c>
      <c r="D62" s="3" t="s">
        <v>50</v>
      </c>
      <c r="E62" s="3" t="s">
        <v>58</v>
      </c>
      <c r="F62" s="3" t="s">
        <v>512</v>
      </c>
      <c r="G62" s="3"/>
      <c r="H62" s="3" t="s">
        <v>391</v>
      </c>
      <c r="I62" s="6"/>
      <c r="J62" s="6"/>
      <c r="K62" s="6"/>
      <c r="L62" s="6"/>
      <c r="M62" s="7"/>
      <c r="N62" s="8" t="str">
        <f t="shared" si="1"/>
        <v/>
      </c>
      <c r="O62" s="6"/>
      <c r="P62" s="6"/>
      <c r="Q62" s="6"/>
    </row>
    <row r="63" spans="1:17" x14ac:dyDescent="0.3">
      <c r="A63" s="2" t="s">
        <v>513</v>
      </c>
      <c r="B63" s="3" t="s">
        <v>388</v>
      </c>
      <c r="C63" s="3">
        <v>1</v>
      </c>
      <c r="D63" s="3" t="s">
        <v>50</v>
      </c>
      <c r="E63" s="3" t="s">
        <v>58</v>
      </c>
      <c r="F63" s="3" t="s">
        <v>514</v>
      </c>
      <c r="G63" s="3"/>
      <c r="H63" s="3" t="s">
        <v>391</v>
      </c>
      <c r="I63" s="6"/>
      <c r="J63" s="6"/>
      <c r="K63" s="6"/>
      <c r="L63" s="6"/>
      <c r="M63" s="7"/>
      <c r="N63" s="8" t="str">
        <f t="shared" si="1"/>
        <v/>
      </c>
      <c r="O63" s="6"/>
      <c r="P63" s="6"/>
      <c r="Q63" s="6"/>
    </row>
    <row r="64" spans="1:17" x14ac:dyDescent="0.3">
      <c r="A64" s="2" t="s">
        <v>515</v>
      </c>
      <c r="B64" s="3" t="s">
        <v>388</v>
      </c>
      <c r="C64" s="3">
        <v>1</v>
      </c>
      <c r="D64" s="3" t="s">
        <v>120</v>
      </c>
      <c r="E64" s="3" t="s">
        <v>121</v>
      </c>
      <c r="F64" s="3" t="s">
        <v>516</v>
      </c>
      <c r="G64" s="3"/>
      <c r="H64" s="3" t="s">
        <v>391</v>
      </c>
      <c r="I64" s="6"/>
      <c r="J64" s="6"/>
      <c r="K64" s="6"/>
      <c r="L64" s="6"/>
      <c r="M64" s="7"/>
      <c r="N64" s="8" t="str">
        <f t="shared" si="1"/>
        <v/>
      </c>
      <c r="O64" s="6"/>
      <c r="P64" s="6"/>
      <c r="Q64" s="6"/>
    </row>
    <row r="65" spans="1:17" x14ac:dyDescent="0.3">
      <c r="A65" s="2" t="s">
        <v>517</v>
      </c>
      <c r="B65" s="3" t="s">
        <v>388</v>
      </c>
      <c r="C65" s="3">
        <v>1</v>
      </c>
      <c r="D65" s="3" t="s">
        <v>120</v>
      </c>
      <c r="E65" s="3" t="s">
        <v>121</v>
      </c>
      <c r="F65" s="3" t="s">
        <v>518</v>
      </c>
      <c r="G65" s="3"/>
      <c r="H65" s="3" t="s">
        <v>391</v>
      </c>
      <c r="I65" s="6"/>
      <c r="J65" s="6"/>
      <c r="K65" s="6"/>
      <c r="L65" s="6"/>
      <c r="M65" s="7"/>
      <c r="N65" s="8" t="str">
        <f t="shared" si="1"/>
        <v/>
      </c>
      <c r="O65" s="6"/>
      <c r="P65" s="6"/>
      <c r="Q65" s="6"/>
    </row>
    <row r="66" spans="1:17" x14ac:dyDescent="0.3">
      <c r="A66" s="2" t="s">
        <v>519</v>
      </c>
      <c r="B66" s="3" t="s">
        <v>393</v>
      </c>
      <c r="C66" s="3">
        <v>1</v>
      </c>
      <c r="D66" s="3"/>
      <c r="E66" s="3"/>
      <c r="F66" s="3"/>
      <c r="G66" s="3"/>
      <c r="H66" s="3" t="s">
        <v>391</v>
      </c>
      <c r="I66" s="6"/>
      <c r="J66" s="6"/>
      <c r="K66" s="6"/>
      <c r="L66" s="6"/>
      <c r="M66" s="7"/>
      <c r="N66" s="8" t="str">
        <f t="shared" ref="N66:N97" si="2">IF(M66="","",WORKDAY(M66,5))</f>
        <v/>
      </c>
      <c r="O66" s="6"/>
      <c r="P66" s="6"/>
      <c r="Q66" s="6"/>
    </row>
    <row r="67" spans="1:17" x14ac:dyDescent="0.3">
      <c r="A67" s="2" t="s">
        <v>520</v>
      </c>
      <c r="B67" s="3" t="s">
        <v>388</v>
      </c>
      <c r="C67" s="3">
        <v>1</v>
      </c>
      <c r="D67" s="3"/>
      <c r="E67" s="3"/>
      <c r="F67" s="3"/>
      <c r="G67" s="3"/>
      <c r="H67" s="3" t="s">
        <v>391</v>
      </c>
      <c r="I67" s="6"/>
      <c r="J67" s="6"/>
      <c r="K67" s="6"/>
      <c r="L67" s="6"/>
      <c r="M67" s="7"/>
      <c r="N67" s="8" t="str">
        <f t="shared" si="2"/>
        <v/>
      </c>
      <c r="O67" s="6"/>
      <c r="P67" s="6"/>
      <c r="Q67" s="6"/>
    </row>
    <row r="68" spans="1:17" x14ac:dyDescent="0.3">
      <c r="A68" s="2" t="s">
        <v>521</v>
      </c>
      <c r="B68" s="3" t="s">
        <v>388</v>
      </c>
      <c r="C68" s="3">
        <v>1</v>
      </c>
      <c r="D68" s="3"/>
      <c r="E68" s="3"/>
      <c r="F68" s="3"/>
      <c r="G68" s="3"/>
      <c r="H68" s="3" t="s">
        <v>391</v>
      </c>
      <c r="I68" s="6"/>
      <c r="J68" s="6"/>
      <c r="K68" s="6"/>
      <c r="L68" s="6"/>
      <c r="M68" s="7"/>
      <c r="N68" s="8" t="str">
        <f t="shared" si="2"/>
        <v/>
      </c>
      <c r="O68" s="6"/>
      <c r="P68" s="6"/>
      <c r="Q68" s="6"/>
    </row>
    <row r="69" spans="1:17" x14ac:dyDescent="0.3">
      <c r="A69" s="2" t="s">
        <v>522</v>
      </c>
      <c r="B69" s="3" t="s">
        <v>388</v>
      </c>
      <c r="C69" s="3">
        <v>1</v>
      </c>
      <c r="D69" s="3" t="s">
        <v>78</v>
      </c>
      <c r="E69" s="3" t="s">
        <v>79</v>
      </c>
      <c r="F69" s="3"/>
      <c r="G69" s="3"/>
      <c r="H69" s="3" t="s">
        <v>391</v>
      </c>
      <c r="I69" s="6"/>
      <c r="J69" s="6"/>
      <c r="K69" s="6"/>
      <c r="L69" s="6"/>
      <c r="M69" s="7"/>
      <c r="N69" s="8" t="str">
        <f t="shared" si="2"/>
        <v/>
      </c>
      <c r="O69" s="6"/>
      <c r="P69" s="6"/>
      <c r="Q69" s="6"/>
    </row>
    <row r="70" spans="1:17" x14ac:dyDescent="0.3">
      <c r="A70" s="2" t="s">
        <v>523</v>
      </c>
      <c r="B70" s="3" t="s">
        <v>388</v>
      </c>
      <c r="C70" s="3">
        <v>1</v>
      </c>
      <c r="D70" s="3" t="s">
        <v>524</v>
      </c>
      <c r="E70" s="3" t="s">
        <v>525</v>
      </c>
      <c r="F70" s="3" t="s">
        <v>526</v>
      </c>
      <c r="G70" s="3"/>
      <c r="H70" s="3" t="s">
        <v>391</v>
      </c>
      <c r="I70" s="6"/>
      <c r="J70" s="6"/>
      <c r="K70" s="6"/>
      <c r="L70" s="6"/>
      <c r="M70" s="7"/>
      <c r="N70" s="8" t="str">
        <f t="shared" si="2"/>
        <v/>
      </c>
      <c r="O70" s="6"/>
      <c r="P70" s="6"/>
      <c r="Q70" s="6"/>
    </row>
    <row r="71" spans="1:17" x14ac:dyDescent="0.3">
      <c r="A71" s="2" t="s">
        <v>527</v>
      </c>
      <c r="B71" s="3" t="s">
        <v>388</v>
      </c>
      <c r="C71" s="3">
        <v>1</v>
      </c>
      <c r="D71" s="3" t="s">
        <v>68</v>
      </c>
      <c r="E71" s="3" t="s">
        <v>69</v>
      </c>
      <c r="F71" s="3" t="s">
        <v>528</v>
      </c>
      <c r="G71" s="3"/>
      <c r="H71" s="3" t="s">
        <v>391</v>
      </c>
      <c r="I71" s="6"/>
      <c r="J71" s="6"/>
      <c r="K71" s="6"/>
      <c r="L71" s="6"/>
      <c r="M71" s="7"/>
      <c r="N71" s="8" t="str">
        <f t="shared" si="2"/>
        <v/>
      </c>
      <c r="O71" s="6"/>
      <c r="P71" s="6"/>
      <c r="Q71" s="6"/>
    </row>
    <row r="72" spans="1:17" x14ac:dyDescent="0.3">
      <c r="A72" s="2" t="s">
        <v>529</v>
      </c>
      <c r="B72" s="3" t="s">
        <v>388</v>
      </c>
      <c r="C72" s="3">
        <v>1</v>
      </c>
      <c r="D72" s="3" t="s">
        <v>78</v>
      </c>
      <c r="E72" s="3" t="s">
        <v>79</v>
      </c>
      <c r="F72" s="3" t="s">
        <v>530</v>
      </c>
      <c r="G72" s="3"/>
      <c r="H72" s="3" t="s">
        <v>391</v>
      </c>
      <c r="I72" s="6"/>
      <c r="J72" s="6"/>
      <c r="K72" s="6"/>
      <c r="L72" s="6"/>
      <c r="M72" s="7"/>
      <c r="N72" s="8" t="str">
        <f t="shared" si="2"/>
        <v/>
      </c>
      <c r="O72" s="6"/>
      <c r="P72" s="6"/>
      <c r="Q72" s="6"/>
    </row>
    <row r="73" spans="1:17" x14ac:dyDescent="0.3">
      <c r="A73" s="2" t="s">
        <v>531</v>
      </c>
      <c r="B73" s="3" t="s">
        <v>388</v>
      </c>
      <c r="C73" s="3">
        <v>1</v>
      </c>
      <c r="D73" s="3"/>
      <c r="E73" s="3"/>
      <c r="F73" s="3"/>
      <c r="G73" s="3"/>
      <c r="H73" s="3" t="s">
        <v>391</v>
      </c>
      <c r="I73" s="6"/>
      <c r="J73" s="6"/>
      <c r="K73" s="6"/>
      <c r="L73" s="6"/>
      <c r="M73" s="7"/>
      <c r="N73" s="8" t="str">
        <f t="shared" si="2"/>
        <v/>
      </c>
      <c r="O73" s="6"/>
      <c r="P73" s="6"/>
      <c r="Q73" s="6"/>
    </row>
    <row r="74" spans="1:17" x14ac:dyDescent="0.3">
      <c r="A74" s="2" t="s">
        <v>532</v>
      </c>
      <c r="B74" s="3" t="s">
        <v>388</v>
      </c>
      <c r="C74" s="3">
        <v>1</v>
      </c>
      <c r="D74" s="3" t="s">
        <v>68</v>
      </c>
      <c r="E74" s="3" t="s">
        <v>533</v>
      </c>
      <c r="F74" s="3" t="s">
        <v>534</v>
      </c>
      <c r="G74" s="3"/>
      <c r="H74" s="3" t="s">
        <v>391</v>
      </c>
      <c r="I74" s="6"/>
      <c r="J74" s="6"/>
      <c r="K74" s="6"/>
      <c r="L74" s="6"/>
      <c r="M74" s="7"/>
      <c r="N74" s="8" t="str">
        <f t="shared" si="2"/>
        <v/>
      </c>
      <c r="O74" s="6"/>
      <c r="P74" s="6"/>
      <c r="Q74" s="6"/>
    </row>
    <row r="75" spans="1:17" x14ac:dyDescent="0.3">
      <c r="A75" s="2" t="s">
        <v>535</v>
      </c>
      <c r="B75" s="3" t="s">
        <v>388</v>
      </c>
      <c r="C75" s="3">
        <v>1</v>
      </c>
      <c r="D75" s="3" t="s">
        <v>272</v>
      </c>
      <c r="E75" s="3" t="s">
        <v>273</v>
      </c>
      <c r="F75" s="3" t="s">
        <v>536</v>
      </c>
      <c r="G75" s="3"/>
      <c r="H75" s="3" t="s">
        <v>391</v>
      </c>
      <c r="I75" s="6"/>
      <c r="J75" s="6"/>
      <c r="K75" s="6"/>
      <c r="L75" s="6"/>
      <c r="M75" s="7"/>
      <c r="N75" s="8" t="str">
        <f t="shared" si="2"/>
        <v/>
      </c>
      <c r="O75" s="6"/>
      <c r="P75" s="6"/>
      <c r="Q75" s="6"/>
    </row>
    <row r="76" spans="1:17" x14ac:dyDescent="0.3">
      <c r="A76" s="2" t="s">
        <v>537</v>
      </c>
      <c r="B76" s="3" t="s">
        <v>388</v>
      </c>
      <c r="C76" s="3">
        <v>1</v>
      </c>
      <c r="D76" s="3"/>
      <c r="E76" s="3"/>
      <c r="F76" s="3"/>
      <c r="G76" s="3"/>
      <c r="H76" s="3" t="s">
        <v>391</v>
      </c>
      <c r="I76" s="6"/>
      <c r="J76" s="6"/>
      <c r="K76" s="6"/>
      <c r="L76" s="6"/>
      <c r="M76" s="7"/>
      <c r="N76" s="8" t="str">
        <f t="shared" si="2"/>
        <v/>
      </c>
      <c r="O76" s="6"/>
      <c r="P76" s="6"/>
      <c r="Q76" s="6"/>
    </row>
    <row r="77" spans="1:17" x14ac:dyDescent="0.3">
      <c r="A77" s="2" t="s">
        <v>538</v>
      </c>
      <c r="B77" s="3" t="s">
        <v>388</v>
      </c>
      <c r="C77" s="3">
        <v>1</v>
      </c>
      <c r="D77" s="3" t="s">
        <v>68</v>
      </c>
      <c r="E77" s="3" t="s">
        <v>69</v>
      </c>
      <c r="F77" s="3" t="s">
        <v>539</v>
      </c>
      <c r="G77" s="3"/>
      <c r="H77" s="3" t="s">
        <v>391</v>
      </c>
      <c r="I77" s="6"/>
      <c r="J77" s="6"/>
      <c r="K77" s="6"/>
      <c r="L77" s="6"/>
      <c r="M77" s="7"/>
      <c r="N77" s="8" t="str">
        <f t="shared" si="2"/>
        <v/>
      </c>
      <c r="O77" s="6"/>
      <c r="P77" s="6"/>
      <c r="Q77" s="6"/>
    </row>
    <row r="78" spans="1:17" x14ac:dyDescent="0.3">
      <c r="A78" s="2" t="s">
        <v>540</v>
      </c>
      <c r="B78" s="3" t="s">
        <v>393</v>
      </c>
      <c r="C78" s="3">
        <v>1</v>
      </c>
      <c r="D78" s="3" t="s">
        <v>50</v>
      </c>
      <c r="E78" s="3" t="s">
        <v>58</v>
      </c>
      <c r="F78" s="3" t="s">
        <v>541</v>
      </c>
      <c r="G78" s="3"/>
      <c r="H78" s="3" t="s">
        <v>391</v>
      </c>
      <c r="I78" s="6"/>
      <c r="J78" s="6"/>
      <c r="K78" s="6"/>
      <c r="L78" s="6"/>
      <c r="M78" s="7"/>
      <c r="N78" s="8" t="str">
        <f t="shared" si="2"/>
        <v/>
      </c>
      <c r="O78" s="6"/>
      <c r="P78" s="6"/>
      <c r="Q78" s="6"/>
    </row>
    <row r="79" spans="1:17" x14ac:dyDescent="0.3">
      <c r="A79" s="2" t="s">
        <v>542</v>
      </c>
      <c r="B79" s="3" t="s">
        <v>388</v>
      </c>
      <c r="C79" s="3">
        <v>1</v>
      </c>
      <c r="D79" s="3" t="s">
        <v>68</v>
      </c>
      <c r="E79" s="3" t="s">
        <v>69</v>
      </c>
      <c r="F79" s="3" t="s">
        <v>543</v>
      </c>
      <c r="G79" s="3"/>
      <c r="H79" s="3" t="s">
        <v>391</v>
      </c>
      <c r="I79" s="6"/>
      <c r="J79" s="6"/>
      <c r="K79" s="6"/>
      <c r="L79" s="6"/>
      <c r="M79" s="7"/>
      <c r="N79" s="8" t="str">
        <f t="shared" si="2"/>
        <v/>
      </c>
      <c r="O79" s="6"/>
      <c r="P79" s="6"/>
      <c r="Q79" s="6"/>
    </row>
    <row r="80" spans="1:17" x14ac:dyDescent="0.3">
      <c r="A80" s="2" t="s">
        <v>544</v>
      </c>
      <c r="B80" s="3" t="s">
        <v>388</v>
      </c>
      <c r="C80" s="3">
        <v>1</v>
      </c>
      <c r="D80" s="3" t="s">
        <v>50</v>
      </c>
      <c r="E80" s="3" t="s">
        <v>58</v>
      </c>
      <c r="F80" s="3" t="s">
        <v>545</v>
      </c>
      <c r="G80" s="3"/>
      <c r="H80" s="3" t="s">
        <v>391</v>
      </c>
      <c r="I80" s="6"/>
      <c r="J80" s="6"/>
      <c r="K80" s="6"/>
      <c r="L80" s="6"/>
      <c r="M80" s="7"/>
      <c r="N80" s="8" t="str">
        <f t="shared" si="2"/>
        <v/>
      </c>
      <c r="O80" s="6"/>
      <c r="P80" s="6"/>
      <c r="Q80" s="6"/>
    </row>
    <row r="81" spans="1:17" x14ac:dyDescent="0.3">
      <c r="A81" s="2" t="s">
        <v>546</v>
      </c>
      <c r="B81" s="3" t="s">
        <v>388</v>
      </c>
      <c r="C81" s="3">
        <v>1</v>
      </c>
      <c r="D81" s="3" t="s">
        <v>547</v>
      </c>
      <c r="E81" s="3" t="s">
        <v>548</v>
      </c>
      <c r="F81" s="3" t="s">
        <v>549</v>
      </c>
      <c r="G81" s="3"/>
      <c r="H81" s="3" t="s">
        <v>391</v>
      </c>
      <c r="I81" s="6"/>
      <c r="J81" s="6"/>
      <c r="K81" s="6"/>
      <c r="L81" s="6"/>
      <c r="M81" s="7"/>
      <c r="N81" s="8" t="str">
        <f t="shared" si="2"/>
        <v/>
      </c>
      <c r="O81" s="6"/>
      <c r="P81" s="6"/>
      <c r="Q81" s="6"/>
    </row>
  </sheetData>
  <autoFilter ref="A1:Q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CCCC"/>
  </sheetPr>
  <dimension ref="B1:C35"/>
  <sheetViews>
    <sheetView workbookViewId="0"/>
  </sheetViews>
  <sheetFormatPr defaultRowHeight="14.4" x14ac:dyDescent="0.3"/>
  <cols>
    <col min="1" max="1" width="4" customWidth="1"/>
    <col min="2" max="2" width="112" customWidth="1"/>
  </cols>
  <sheetData>
    <row r="1" spans="2:2" x14ac:dyDescent="0.3">
      <c r="B1" s="11" t="s">
        <v>550</v>
      </c>
    </row>
    <row r="2" spans="2:2" x14ac:dyDescent="0.3">
      <c r="B2" s="12"/>
    </row>
    <row r="3" spans="2:2" x14ac:dyDescent="0.3">
      <c r="B3" s="11" t="s">
        <v>551</v>
      </c>
    </row>
    <row r="4" spans="2:2" x14ac:dyDescent="0.3">
      <c r="B4" s="12" t="s">
        <v>552</v>
      </c>
    </row>
    <row r="5" spans="2:2" x14ac:dyDescent="0.3">
      <c r="B5" s="12" t="s">
        <v>553</v>
      </c>
    </row>
    <row r="6" spans="2:2" x14ac:dyDescent="0.3">
      <c r="B6" s="12" t="s">
        <v>554</v>
      </c>
    </row>
    <row r="7" spans="2:2" x14ac:dyDescent="0.3">
      <c r="B7" s="12" t="s">
        <v>555</v>
      </c>
    </row>
    <row r="8" spans="2:2" x14ac:dyDescent="0.3">
      <c r="B8" s="12" t="s">
        <v>556</v>
      </c>
    </row>
    <row r="9" spans="2:2" x14ac:dyDescent="0.3">
      <c r="B9" s="12" t="s">
        <v>557</v>
      </c>
    </row>
    <row r="10" spans="2:2" x14ac:dyDescent="0.3">
      <c r="B10" s="12" t="s">
        <v>558</v>
      </c>
    </row>
    <row r="11" spans="2:2" x14ac:dyDescent="0.3">
      <c r="B11" s="12"/>
    </row>
    <row r="12" spans="2:2" x14ac:dyDescent="0.3">
      <c r="B12" s="11" t="s">
        <v>559</v>
      </c>
    </row>
    <row r="13" spans="2:2" x14ac:dyDescent="0.3">
      <c r="B13" s="12" t="s">
        <v>560</v>
      </c>
    </row>
    <row r="14" spans="2:2" x14ac:dyDescent="0.3">
      <c r="B14" s="12" t="s">
        <v>561</v>
      </c>
    </row>
    <row r="15" spans="2:2" x14ac:dyDescent="0.3">
      <c r="B15" s="12" t="s">
        <v>562</v>
      </c>
    </row>
    <row r="16" spans="2:2" x14ac:dyDescent="0.3">
      <c r="B16" s="12" t="s">
        <v>563</v>
      </c>
    </row>
    <row r="17" spans="2:3" x14ac:dyDescent="0.3">
      <c r="B17" s="12" t="s">
        <v>564</v>
      </c>
    </row>
    <row r="18" spans="2:3" x14ac:dyDescent="0.3">
      <c r="B18" s="12"/>
    </row>
    <row r="19" spans="2:3" x14ac:dyDescent="0.3">
      <c r="B19" s="11" t="s">
        <v>565</v>
      </c>
    </row>
    <row r="20" spans="2:3" x14ac:dyDescent="0.3">
      <c r="B20" s="12" t="s">
        <v>566</v>
      </c>
    </row>
    <row r="21" spans="2:3" x14ac:dyDescent="0.3">
      <c r="B21" s="12" t="s">
        <v>567</v>
      </c>
    </row>
    <row r="22" spans="2:3" x14ac:dyDescent="0.3">
      <c r="B22" s="12" t="s">
        <v>568</v>
      </c>
    </row>
    <row r="23" spans="2:3" x14ac:dyDescent="0.3">
      <c r="B23" s="12" t="s">
        <v>569</v>
      </c>
    </row>
    <row r="24" spans="2:3" x14ac:dyDescent="0.3">
      <c r="B24" s="12"/>
    </row>
    <row r="25" spans="2:3" x14ac:dyDescent="0.3">
      <c r="B25" s="11" t="s">
        <v>570</v>
      </c>
    </row>
    <row r="26" spans="2:3" x14ac:dyDescent="0.3">
      <c r="B26" s="12" t="s">
        <v>571</v>
      </c>
    </row>
    <row r="27" spans="2:3" x14ac:dyDescent="0.3">
      <c r="B27" s="12" t="s">
        <v>572</v>
      </c>
      <c r="C27" s="13"/>
    </row>
    <row r="28" spans="2:3" x14ac:dyDescent="0.3">
      <c r="B28" s="12" t="s">
        <v>573</v>
      </c>
      <c r="C28" s="14"/>
    </row>
    <row r="30" spans="2:3" x14ac:dyDescent="0.3">
      <c r="B30" s="11" t="s">
        <v>574</v>
      </c>
    </row>
    <row r="31" spans="2:3" x14ac:dyDescent="0.3">
      <c r="B31" s="12" t="s">
        <v>575</v>
      </c>
      <c r="C31" s="11">
        <f>COUNTIF(Consolidado!A:A,"Bancos")</f>
        <v>6</v>
      </c>
    </row>
    <row r="32" spans="2:3" x14ac:dyDescent="0.3">
      <c r="B32" s="12" t="s">
        <v>576</v>
      </c>
      <c r="C32" s="11">
        <f>COUNTIF(Consolidado!A:A,"Corretoras (CTVM)")</f>
        <v>11</v>
      </c>
    </row>
    <row r="33" spans="2:3" x14ac:dyDescent="0.3">
      <c r="B33" s="12" t="s">
        <v>577</v>
      </c>
      <c r="C33" s="11">
        <f>COUNTIF(Consolidado!A:A,"DTVMs não-adm")</f>
        <v>26</v>
      </c>
    </row>
    <row r="35" spans="2:3" x14ac:dyDescent="0.3">
      <c r="B35" s="12" t="s">
        <v>578</v>
      </c>
      <c r="C35" s="11">
        <f>COUNTA('Auditores (canal)'!A:A)-1</f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Consolidado</vt:lpstr>
      <vt:lpstr>Bancos</vt:lpstr>
      <vt:lpstr>Corretoras (CTVM)</vt:lpstr>
      <vt:lpstr>DTVMs não-adm</vt:lpstr>
      <vt:lpstr>Auditores (canal)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Fernandes</cp:lastModifiedBy>
  <dcterms:created xsi:type="dcterms:W3CDTF">2026-07-13T15:06:04Z</dcterms:created>
  <dcterms:modified xsi:type="dcterms:W3CDTF">2026-07-13T15:09:04Z</dcterms:modified>
</cp:coreProperties>
</file>