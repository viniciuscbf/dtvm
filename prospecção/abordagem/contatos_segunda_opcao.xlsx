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e5216256ebd44833/Desktop/dtvm/prospecção/abordagem/"/>
    </mc:Choice>
  </mc:AlternateContent>
  <xr:revisionPtr revIDLastSave="0" documentId="11_4B15C98EFE829602C67972A3E4BA8239FD74FA1C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onsolidado" sheetId="1" r:id="rId1"/>
    <sheet name="Bancos médios" sheetId="2" r:id="rId2"/>
    <sheet name="Corretoras (CTVM) médias" sheetId="3" r:id="rId3"/>
    <sheet name="DTVMs não-adm (médias)" sheetId="4" r:id="rId4"/>
    <sheet name="DTVMs administradoras" sheetId="5" r:id="rId5"/>
    <sheet name="Legenda" sheetId="6" r:id="rId6"/>
  </sheets>
  <definedNames>
    <definedName name="_xlnm._FilterDatabase" localSheetId="1" hidden="1">'Bancos médios'!$A$1:$X$23</definedName>
    <definedName name="_xlnm._FilterDatabase" localSheetId="0" hidden="1">Consolidado!$A$1:$Y$68</definedName>
    <definedName name="_xlnm._FilterDatabase" localSheetId="2" hidden="1">'Corretoras (CTVM) médias'!$A$1:$X$2</definedName>
    <definedName name="_xlnm._FilterDatabase" localSheetId="4" hidden="1">'DTVMs administradoras'!$A$1:$X$44</definedName>
    <definedName name="_xlnm._FilterDatabase" localSheetId="3" hidden="1">'DTVMs não-adm (médias)'!$A$1:$X$2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1" i="6" l="1"/>
  <c r="C20" i="6"/>
  <c r="C19" i="6"/>
  <c r="C18" i="6"/>
  <c r="U44" i="5"/>
  <c r="U43" i="5"/>
  <c r="U42" i="5"/>
  <c r="U41" i="5"/>
  <c r="U40" i="5"/>
  <c r="U39" i="5"/>
  <c r="U38" i="5"/>
  <c r="U37" i="5"/>
  <c r="U36" i="5"/>
  <c r="U35" i="5"/>
  <c r="U34" i="5"/>
  <c r="U33" i="5"/>
  <c r="U32" i="5"/>
  <c r="U31" i="5"/>
  <c r="U30" i="5"/>
  <c r="U29" i="5"/>
  <c r="U28" i="5"/>
  <c r="U27" i="5"/>
  <c r="U26" i="5"/>
  <c r="U25" i="5"/>
  <c r="U24" i="5"/>
  <c r="U23" i="5"/>
  <c r="U22" i="5"/>
  <c r="U21" i="5"/>
  <c r="U20" i="5"/>
  <c r="U19" i="5"/>
  <c r="U18" i="5"/>
  <c r="U17" i="5"/>
  <c r="U16" i="5"/>
  <c r="U15" i="5"/>
  <c r="U14" i="5"/>
  <c r="U13" i="5"/>
  <c r="U12" i="5"/>
  <c r="U11" i="5"/>
  <c r="U10" i="5"/>
  <c r="U9" i="5"/>
  <c r="U8" i="5"/>
  <c r="U7" i="5"/>
  <c r="U6" i="5"/>
  <c r="U5" i="5"/>
  <c r="U4" i="5"/>
  <c r="U3" i="5"/>
  <c r="U2" i="5"/>
  <c r="U2" i="4"/>
  <c r="U2" i="3"/>
  <c r="U23" i="2"/>
  <c r="U22" i="2"/>
  <c r="U21" i="2"/>
  <c r="U20" i="2"/>
  <c r="U19" i="2"/>
  <c r="U18" i="2"/>
  <c r="U17" i="2"/>
  <c r="U16" i="2"/>
  <c r="U15" i="2"/>
  <c r="U14" i="2"/>
  <c r="U13" i="2"/>
  <c r="U12" i="2"/>
  <c r="U11" i="2"/>
  <c r="U10" i="2"/>
  <c r="U9" i="2"/>
  <c r="U8" i="2"/>
  <c r="U7" i="2"/>
  <c r="U6" i="2"/>
  <c r="U5" i="2"/>
  <c r="U4" i="2"/>
  <c r="U3" i="2"/>
  <c r="U2" i="2"/>
  <c r="V68" i="1"/>
  <c r="V67" i="1"/>
  <c r="V66" i="1"/>
  <c r="V65" i="1"/>
  <c r="V64" i="1"/>
  <c r="V63" i="1"/>
  <c r="V62" i="1"/>
  <c r="V61" i="1"/>
  <c r="V60" i="1"/>
  <c r="V59" i="1"/>
  <c r="V58" i="1"/>
  <c r="V57" i="1"/>
  <c r="V56" i="1"/>
  <c r="V55" i="1"/>
  <c r="V54" i="1"/>
  <c r="V53" i="1"/>
  <c r="V52" i="1"/>
  <c r="V51" i="1"/>
  <c r="V50" i="1"/>
  <c r="V49" i="1"/>
  <c r="V48" i="1"/>
  <c r="V47" i="1"/>
  <c r="V46" i="1"/>
  <c r="V45" i="1"/>
  <c r="V44" i="1"/>
  <c r="V43" i="1"/>
  <c r="V42" i="1"/>
  <c r="V41" i="1"/>
  <c r="V40" i="1"/>
  <c r="V39" i="1"/>
  <c r="V38" i="1"/>
  <c r="V37" i="1"/>
  <c r="V36" i="1"/>
  <c r="V35" i="1"/>
  <c r="V34" i="1"/>
  <c r="V33" i="1"/>
  <c r="V32" i="1"/>
  <c r="V31" i="1"/>
  <c r="V30" i="1"/>
  <c r="V29" i="1"/>
  <c r="V28" i="1"/>
  <c r="V27" i="1"/>
  <c r="V26" i="1"/>
  <c r="V25" i="1"/>
  <c r="V24" i="1"/>
  <c r="V23" i="1"/>
  <c r="V22" i="1"/>
  <c r="V21" i="1"/>
  <c r="V20" i="1"/>
  <c r="V19" i="1"/>
  <c r="V18" i="1"/>
  <c r="V17" i="1"/>
  <c r="V16" i="1"/>
  <c r="V15" i="1"/>
  <c r="V14" i="1"/>
  <c r="V13" i="1"/>
  <c r="V12" i="1"/>
  <c r="V11" i="1"/>
  <c r="V10" i="1"/>
  <c r="V9" i="1"/>
  <c r="V8" i="1"/>
  <c r="V7" i="1"/>
  <c r="V6" i="1"/>
  <c r="V5" i="1"/>
  <c r="V4" i="1"/>
  <c r="V3" i="1"/>
  <c r="V2" i="1"/>
</calcChain>
</file>

<file path=xl/sharedStrings.xml><?xml version="1.0" encoding="utf-8"?>
<sst xmlns="http://schemas.openxmlformats.org/spreadsheetml/2006/main" count="1730" uniqueCount="401">
  <si>
    <t>Tipo</t>
  </si>
  <si>
    <t>Instituição</t>
  </si>
  <si>
    <t>Segmento BCB</t>
  </si>
  <si>
    <t>UF</t>
  </si>
  <si>
    <t>Município</t>
  </si>
  <si>
    <t>Ativo Total (R$)</t>
  </si>
  <si>
    <t>Maior escala (R$)</t>
  </si>
  <si>
    <t>Já custodia?</t>
  </si>
  <si>
    <t>Gestor CVM?</t>
  </si>
  <si>
    <t>Início atividade</t>
  </si>
  <si>
    <t>Telefone</t>
  </si>
  <si>
    <t>E-mail</t>
  </si>
  <si>
    <t>Site</t>
  </si>
  <si>
    <t>Caminho regulatório</t>
  </si>
  <si>
    <t>Template de e-mail</t>
  </si>
  <si>
    <t>Anexos</t>
  </si>
  <si>
    <t>Decisor</t>
  </si>
  <si>
    <t>Cargo</t>
  </si>
  <si>
    <t>E-mail do decisor</t>
  </si>
  <si>
    <t>Status</t>
  </si>
  <si>
    <t>Data 1º contato</t>
  </si>
  <si>
    <t>Follow-up em</t>
  </si>
  <si>
    <t>Resposta</t>
  </si>
  <si>
    <t>Próximo passo</t>
  </si>
  <si>
    <t>Notas</t>
  </si>
  <si>
    <t>Bancos médios</t>
  </si>
  <si>
    <t>BANCO TRICURY S.A.</t>
  </si>
  <si>
    <t>Banco Múltiplo</t>
  </si>
  <si>
    <t>SP</t>
  </si>
  <si>
    <t>São Paulo</t>
  </si>
  <si>
    <t>1987</t>
  </si>
  <si>
    <t>11 50808000</t>
  </si>
  <si>
    <t>mesa@bancotricury.com.br</t>
  </si>
  <si>
    <t>www.bancotricury.com.br</t>
  </si>
  <si>
    <t>Elegível direto às DUAS licenças — banda R$ 0,4–20 bi (acima do CRM principal)</t>
  </si>
  <si>
    <t>A (banco)</t>
  </si>
  <si>
    <t>Tour + OnePager Banco</t>
  </si>
  <si>
    <t>BANCO SENFF S.A.</t>
  </si>
  <si>
    <t>PR</t>
  </si>
  <si>
    <t>Curitiba</t>
  </si>
  <si>
    <t>41 33131801</t>
  </si>
  <si>
    <t>regulatorio.carteira@senff.com.br</t>
  </si>
  <si>
    <t>BANCO ARBI S.A.</t>
  </si>
  <si>
    <t>Banco Comercial</t>
  </si>
  <si>
    <t>RJ</t>
  </si>
  <si>
    <t>Rio De Janeiro</t>
  </si>
  <si>
    <t>1969</t>
  </si>
  <si>
    <t>21 25291800</t>
  </si>
  <si>
    <t>banco@bancoarbi.com.br</t>
  </si>
  <si>
    <t>www.bancoarbi.com.br</t>
  </si>
  <si>
    <t>BANCO SEMEAR S.A.</t>
  </si>
  <si>
    <t>MG</t>
  </si>
  <si>
    <t>Belo Horizonte</t>
  </si>
  <si>
    <t>SIM</t>
  </si>
  <si>
    <t>1995</t>
  </si>
  <si>
    <t>31 35168000</t>
  </si>
  <si>
    <t>institucional.bcb@bancosemear.com.br</t>
  </si>
  <si>
    <t>www.bancosemear.com.br</t>
  </si>
  <si>
    <t>BANCO PAULISTA S.A.</t>
  </si>
  <si>
    <t>SIM — 19 classes</t>
  </si>
  <si>
    <t>1967</t>
  </si>
  <si>
    <t>11 32992000</t>
  </si>
  <si>
    <t>compliance@bancopaulista.com.br</t>
  </si>
  <si>
    <t>www.bancopaulista.com.br</t>
  </si>
  <si>
    <t>BANCO BARI DE INVESTIMENTOS E FINANCIAMENTOS S.A.</t>
  </si>
  <si>
    <t>Banco (triagem manual)</t>
  </si>
  <si>
    <t>41 40072628</t>
  </si>
  <si>
    <t>compliance@bancobari.com.br</t>
  </si>
  <si>
    <t>www.bancobari.com.br</t>
  </si>
  <si>
    <t>Triagem manual 12/07/2026 — Grupo Barigui (Curitiba). Moody's Local jun/2024: conglomerado R$ 1,7 bi; home equity/consignado</t>
  </si>
  <si>
    <t>BANCO AFINZ S.A. - BANCO MÚLTIPLO</t>
  </si>
  <si>
    <t>Sorocaba</t>
  </si>
  <si>
    <t>15 32246600</t>
  </si>
  <si>
    <t>ouvidoria@afinz.com.br</t>
  </si>
  <si>
    <t>www.afinz.com.br</t>
  </si>
  <si>
    <t>BANCO RIBEIRAO PRETO S.A.</t>
  </si>
  <si>
    <t>Ribeirão Preto</t>
  </si>
  <si>
    <t>16 21014600</t>
  </si>
  <si>
    <t>backoffice@brp.com.br</t>
  </si>
  <si>
    <t>www.brp.com.br</t>
  </si>
  <si>
    <t>BANCO BRASILEIRO DE CRÉDITO SOCIEDADE ANÔNIMA</t>
  </si>
  <si>
    <t>1997</t>
  </si>
  <si>
    <t>11 31521000</t>
  </si>
  <si>
    <t>gustavo.resende@bancobbcdigital.com.br</t>
  </si>
  <si>
    <t>https://bancobbcdigital.com.br/</t>
  </si>
  <si>
    <t>BANCO TOPÁZIO S.A.</t>
  </si>
  <si>
    <t>RS</t>
  </si>
  <si>
    <t>Porto Alegre</t>
  </si>
  <si>
    <t>2006</t>
  </si>
  <si>
    <t>51 33277700</t>
  </si>
  <si>
    <t>topaziobc@bancotopazio.com.br</t>
  </si>
  <si>
    <t>www.bancotopazio.com.br</t>
  </si>
  <si>
    <t>BANCO IBM S.A.</t>
  </si>
  <si>
    <t>1976</t>
  </si>
  <si>
    <t>21 21325228</t>
  </si>
  <si>
    <t>vmachado@br.ibm.com</t>
  </si>
  <si>
    <t>www.ibm.com.br</t>
  </si>
  <si>
    <t>BANCO GUANABARA S.A.</t>
  </si>
  <si>
    <t>1988</t>
  </si>
  <si>
    <t>21 27340400</t>
  </si>
  <si>
    <t>ivan.sousa@bancoguanabara.com.br</t>
  </si>
  <si>
    <t>www.bancoguanabara.com.br</t>
  </si>
  <si>
    <t>OMNI BANCO S.A.</t>
  </si>
  <si>
    <t>11 33653522</t>
  </si>
  <si>
    <t>omni.banco@omni.com.br</t>
  </si>
  <si>
    <t>https://rebrand.ly/whatsappouvidoriaomni</t>
  </si>
  <si>
    <t>Triagem manual 12/07/2026 — Grupo Omni (nacional independente). DFs omni.com.br: ativo R$ 2,8 bi (dez/2025)</t>
  </si>
  <si>
    <t>BANCO RODOBENS S.A.</t>
  </si>
  <si>
    <t>1966</t>
  </si>
  <si>
    <t>11 21248700</t>
  </si>
  <si>
    <t>rodobensbanco@rodobens.com.br</t>
  </si>
  <si>
    <t>www.rodobensbanco.com.br</t>
  </si>
  <si>
    <t>BANCO LUSO BRASILEIRO S.A.</t>
  </si>
  <si>
    <t>11 30391543</t>
  </si>
  <si>
    <t>compliance@lusobank.com.br</t>
  </si>
  <si>
    <t>www.lusobrasileiro.com.br</t>
  </si>
  <si>
    <t>NOVO BANCO CONTINENTAL S.A. - BANCO MÚLTIPLO</t>
  </si>
  <si>
    <t>51 32204000</t>
  </si>
  <si>
    <t>diretoria@nbcbank.com.br</t>
  </si>
  <si>
    <t>www.nbcbank.com.br</t>
  </si>
  <si>
    <t>BANCO TRIANGULO S.A.</t>
  </si>
  <si>
    <t>Uberlândia</t>
  </si>
  <si>
    <t>1968</t>
  </si>
  <si>
    <t>34 32181421</t>
  </si>
  <si>
    <t>compliance@tribanco.com.br</t>
  </si>
  <si>
    <t>www.tribanco.com.br</t>
  </si>
  <si>
    <t>BANCO BS2 S.A.</t>
  </si>
  <si>
    <t>1993</t>
  </si>
  <si>
    <t>800 5455252</t>
  </si>
  <si>
    <t>infosecretariageral@bancobs2.com.br</t>
  </si>
  <si>
    <t>https://wa.me/31971440936</t>
  </si>
  <si>
    <t>BANCO SOFISA S.A.</t>
  </si>
  <si>
    <t>11 31765500</t>
  </si>
  <si>
    <t>institucionalsofisabcb@sofisa.com.br</t>
  </si>
  <si>
    <t>www.sofisa.com.br</t>
  </si>
  <si>
    <t>Triagem manual 12/07/2026 — Familia Burmaian (~66%). Moody's Local jan/2026: ativos bancarios R$ 8,3 bi (jun/2025); banco familiar independente</t>
  </si>
  <si>
    <t>BANCO DIGIMAIS S.A.</t>
  </si>
  <si>
    <t>1981</t>
  </si>
  <si>
    <t>11 55555380</t>
  </si>
  <si>
    <t>contabilidade@bancodigimais.com.br</t>
  </si>
  <si>
    <t>www.bancodigimais.com.br</t>
  </si>
  <si>
    <t>PARANÁ BANCO S.A.</t>
  </si>
  <si>
    <t>41 33519899</t>
  </si>
  <si>
    <t>presidencia@paranabanco.com.br</t>
  </si>
  <si>
    <t>www.paranabanco.com.br</t>
  </si>
  <si>
    <t>Triagem manual 12/07/2026 — Familia Malucelli (JMalucelli). BancoData set/2024: ativo R$ 10,5 bi, PL R$ 1,3 bi; consignado/seguros</t>
  </si>
  <si>
    <t>BR PARTNERS BANCO DE INVESTIMENTO S.A.</t>
  </si>
  <si>
    <t>Banco de Investimento</t>
  </si>
  <si>
    <t>sim</t>
  </si>
  <si>
    <t>2013</t>
  </si>
  <si>
    <t>11 37041000</t>
  </si>
  <si>
    <t>br.unicad@brap.com.br</t>
  </si>
  <si>
    <t>www.brap.com.br</t>
  </si>
  <si>
    <t>Corretoras (CTVM) médias</t>
  </si>
  <si>
    <t>MIRAE ASSET (BRASIL) CORRETORA DE CÂMBIO, TÍTULOS  E VALORES MOBILIÁRIOS LTDA.</t>
  </si>
  <si>
    <t>Sociedade Corretora de TVM</t>
  </si>
  <si>
    <t>SIM — 2 classes</t>
  </si>
  <si>
    <t>2010</t>
  </si>
  <si>
    <t>11 27892000</t>
  </si>
  <si>
    <t>ouvidoria.ctvm@miraeinvest.com.br</t>
  </si>
  <si>
    <t>corretora.miraeasset.com.br</t>
  </si>
  <si>
    <t>Elegível direto às DUAS licenças — banda R$ 0,4–20 bi</t>
  </si>
  <si>
    <t>A2 (corretora)</t>
  </si>
  <si>
    <t>Tour + OnePager CTVM</t>
  </si>
  <si>
    <t>DTVMs não-adm (médias)</t>
  </si>
  <si>
    <t>WARREN RENA DISTRIBUIDORA DE TÍTULOS E VALORES MOBILIÁRIOS LTDA</t>
  </si>
  <si>
    <t>DTVM (triagem manual)</t>
  </si>
  <si>
    <t>11 32630400</t>
  </si>
  <si>
    <t>compliance@warren.com.br</t>
  </si>
  <si>
    <t>https://warren-website-v09.webflow.io/</t>
  </si>
  <si>
    <t>Elegível direto às DUAS licenças; não administra fundos — banda R$ 0,4–20 bi</t>
  </si>
  <si>
    <t>A3 (distribuidora) — NDA OBRIGATÓRIO</t>
  </si>
  <si>
    <t>Tour + OnePager DTVM</t>
  </si>
  <si>
    <t>Triagem manual 12/07/2026 — Warren Brasil (fintech nacional, ex-Renascenca). Balanco BDO: ativo oscila R$ 0,36-2,69 bi (dealer de titulos publicos); PL ~R$ 71 mi</t>
  </si>
  <si>
    <t>DTVMs administradoras</t>
  </si>
  <si>
    <t>QORE DISTRIBUIDORA DE TITULOS E VALORES MOBILIÁRIOS LTDA</t>
  </si>
  <si>
    <t>Sociedade Distribuidora de TVM</t>
  </si>
  <si>
    <t>SIM — 111 classes</t>
  </si>
  <si>
    <t>11 31064767</t>
  </si>
  <si>
    <t>compliance@qore.com.br</t>
  </si>
  <si>
    <t>https://qoredtvm.com.br/</t>
  </si>
  <si>
    <t>JÁ administra fundos: retaguarda própria — RISCO MÁXIMO de absorção da ideia. Último recurso</t>
  </si>
  <si>
    <t>A4 (administradora) — NDA REFORÇADO; deck/demo só com contrato; abordar por último</t>
  </si>
  <si>
    <t>Nenhum anexo no 1º contato (nem tour)</t>
  </si>
  <si>
    <t>INTEGRAL ACCESS DISTRIBUIDORA DE TÍTULOS E VALORES MOBILIÁRIOS LTDA.</t>
  </si>
  <si>
    <t>2019</t>
  </si>
  <si>
    <t>11 31039961</t>
  </si>
  <si>
    <t>vitor.bidetti@brei.com.br</t>
  </si>
  <si>
    <t>www.integralaccess.com.br</t>
  </si>
  <si>
    <t>LASTRO RDV DISTRIBUIDORA DE TÍTULOS E VALORES MOBILIÁRIOS LTDA.</t>
  </si>
  <si>
    <t>Araras</t>
  </si>
  <si>
    <t>SIM — 70 classes</t>
  </si>
  <si>
    <t>19 35433400</t>
  </si>
  <si>
    <t>diretoria@lastro.com.br</t>
  </si>
  <si>
    <t>www.lastro.com.br</t>
  </si>
  <si>
    <t>GREEN ALTERNATIVE INVESTMENTS DISTRIBUIDORA DE TÍTULOS E VALORES MOBILIÁRIOS S.A.</t>
  </si>
  <si>
    <t>SIM — 1 classes</t>
  </si>
  <si>
    <t>2020</t>
  </si>
  <si>
    <t>11 55557820</t>
  </si>
  <si>
    <t>regulatorio@green.com.ai</t>
  </si>
  <si>
    <t>http://www.green.com.ai/</t>
  </si>
  <si>
    <t>VERT DISTRIBUIDORA DE TÍTULOS E VALORES MOBILIÁRIOS LTDA</t>
  </si>
  <si>
    <t>SIM — 58 classes</t>
  </si>
  <si>
    <t>2023</t>
  </si>
  <si>
    <t>11 33851800</t>
  </si>
  <si>
    <t>victoria@vert-capital.com</t>
  </si>
  <si>
    <t>CATÁLISE DISTRIBUIDORA DE TÍTULOS E VALORES MOBILIÁRIOS LTDA</t>
  </si>
  <si>
    <t>41 30148484</t>
  </si>
  <si>
    <t>aoki@cataliseinvestimentos.com</t>
  </si>
  <si>
    <t>www.falcondtvm.com</t>
  </si>
  <si>
    <t>MÉRITO DISTRIBUIDORA DE TÍTULOS E VALORES MOBILIÁRIOS LTDA.</t>
  </si>
  <si>
    <t>SIM — 31 classes</t>
  </si>
  <si>
    <t>2021</t>
  </si>
  <si>
    <t>11 33862555</t>
  </si>
  <si>
    <t>ouvidoria@meritodtvm.com.br</t>
  </si>
  <si>
    <t>www.meritodtvm.com.br</t>
  </si>
  <si>
    <t>LIMINE TRUST DISTRIBUIDORA DE TÍTULOS E VALORES MOBILIÁRIOS S.A.</t>
  </si>
  <si>
    <t>SIM — 188 classes</t>
  </si>
  <si>
    <t>2016</t>
  </si>
  <si>
    <t>11 28461166</t>
  </si>
  <si>
    <t>nivea@liminedtvm.com</t>
  </si>
  <si>
    <t>www.liminedtvm.com.br</t>
  </si>
  <si>
    <t>CV INVESTIMENTOS DISTRIBUIDORA DE TÍTULOS E VALORES MOBILIÁRIOS LTDA.</t>
  </si>
  <si>
    <t>2024</t>
  </si>
  <si>
    <t>11 409593100</t>
  </si>
  <si>
    <t>compliance@cvpar.com.br</t>
  </si>
  <si>
    <t>https://cvpar.com.br/</t>
  </si>
  <si>
    <t>BR-CAPITAL DISTRIBUIDORA DE TÍTULOS E VALORES MOBILIÁRIOS S.A.</t>
  </si>
  <si>
    <t>SIM — 23 classes</t>
  </si>
  <si>
    <t>11 55083500</t>
  </si>
  <si>
    <t>brcapital@capital.com.b</t>
  </si>
  <si>
    <t>www.brcapital.com.br</t>
  </si>
  <si>
    <t>INTRA INVESTIMENTOS DISTRIBUIDORA DE TÍTULOS E VALORES MOBILIÁRIOS LTDA</t>
  </si>
  <si>
    <t>SIM — 51 classes</t>
  </si>
  <si>
    <t>2012</t>
  </si>
  <si>
    <t>11 31985901</t>
  </si>
  <si>
    <t>compliance@intrader.com.br</t>
  </si>
  <si>
    <t>FINVEST DISTRIBUIDORA DE TÍTULOS E VALORES MOBILIÁRIOS LTDA.</t>
  </si>
  <si>
    <t>11 999435354</t>
  </si>
  <si>
    <t>marcos.moretti@finvestdtvm.com.br</t>
  </si>
  <si>
    <t>www.finvestdtvm.com.br</t>
  </si>
  <si>
    <t>WNT CAPITAL DISTRIBUIDORA DE TÍTULOS E VALORES MOBILIÁRIOS S.A.</t>
  </si>
  <si>
    <t>SIM — 50 classes</t>
  </si>
  <si>
    <t>2022</t>
  </si>
  <si>
    <t>11 30101001</t>
  </si>
  <si>
    <t>info@wntdtvm.com</t>
  </si>
  <si>
    <t>www.wntdtvm.com</t>
  </si>
  <si>
    <t>DILLON S/A DISTRIBUIDORA DE TITULOS E VALORES MOBILIARIOS</t>
  </si>
  <si>
    <t>21 25178021</t>
  </si>
  <si>
    <t>dillon@dillon.com.br</t>
  </si>
  <si>
    <t>www.dillon.com.br</t>
  </si>
  <si>
    <t>RIO BRAVO INVESTIMENTOS - DISTRIBUIDORA DE TÍTULOS E VALORES MOBILIÁRIOS LTDA.</t>
  </si>
  <si>
    <t>1994</t>
  </si>
  <si>
    <t>11 35096694</t>
  </si>
  <si>
    <t>correspondencia@riobravo.com.br</t>
  </si>
  <si>
    <t>www.riobravo.com.br</t>
  </si>
  <si>
    <t>HEDGE INVESTMENTS DISTRIBUIDORA DE TÍTULOS E VALORES MOBILIÁRIOS LTDA.</t>
  </si>
  <si>
    <t>SIM — 48 classes</t>
  </si>
  <si>
    <t>2005</t>
  </si>
  <si>
    <t>11 54125400</t>
  </si>
  <si>
    <t>dtvm@hedgeinvest.com.br</t>
  </si>
  <si>
    <t>www.hedgeinvest.com.br</t>
  </si>
  <si>
    <t>FIDD DISTRIBUIDORA DE TÍTULOS E VALORES MOBILIÁRIOS LTDA.</t>
  </si>
  <si>
    <t>SIM — 148 classes</t>
  </si>
  <si>
    <t>11 23914181</t>
  </si>
  <si>
    <t>fidd-institucional@fiddgroup.com</t>
  </si>
  <si>
    <t>www.fiddgroup.com</t>
  </si>
  <si>
    <t>HEMERA DISTRIBUIDORA DE TÍTULOS E VALORES MOBILIÁRIOS LTDA.</t>
  </si>
  <si>
    <t>800 3260953</t>
  </si>
  <si>
    <t>contato@hemeradtvm.com.br</t>
  </si>
  <si>
    <t>www.hemeradtvm.com.br</t>
  </si>
  <si>
    <t>ACTUAL DISTRIBUIDORA DE TÍTULOS E VALORES MOBILIÁRIOS S.A.</t>
  </si>
  <si>
    <t>marcelo@libertasasset.com.br</t>
  </si>
  <si>
    <t>AZUMI DISTRIBUIDORA DE TÍTULOS E VALORES MOBILIÁRIOS LTDA.</t>
  </si>
  <si>
    <t>SIM — 137 classes</t>
  </si>
  <si>
    <t>11 26269780</t>
  </si>
  <si>
    <t>eli.tassim@azumidtvm.com.br</t>
  </si>
  <si>
    <t>LIONS TRUST DISTRIBUIDORA DE TÍTULOS E VALORES MOBILIÁRIOS LTDA.</t>
  </si>
  <si>
    <t>SIM — 103 classes</t>
  </si>
  <si>
    <t>11 50535880</t>
  </si>
  <si>
    <t>lionstrust@lionstrust.com.br</t>
  </si>
  <si>
    <t>www.lionstrust.com.br</t>
  </si>
  <si>
    <t>OSLO CAPITAL DISTRIBUIDORA DE TÍTULOS E VALORES MOBILIÁRIOS S.A</t>
  </si>
  <si>
    <t>SIM — 73 classes</t>
  </si>
  <si>
    <t>2011</t>
  </si>
  <si>
    <t>11 35133100</t>
  </si>
  <si>
    <t>contato@oslodtvm.com</t>
  </si>
  <si>
    <t>www.oslodtvm.com</t>
  </si>
  <si>
    <t>OLIVEIRA TRUST DISTRIBUIDORA DE TÍTULOS E VALORES MOBILIARIOS S.A.</t>
  </si>
  <si>
    <t>SIM — 605 classes</t>
  </si>
  <si>
    <t>1990</t>
  </si>
  <si>
    <t>21 35140000</t>
  </si>
  <si>
    <t>juridico@oliveiratrust.com.br</t>
  </si>
  <si>
    <t>www.oliveiratrust.com.br</t>
  </si>
  <si>
    <t>SUL AMERICA INVESTIMENTOS DISTRIBUIDORA DE TITULOS E VALORES MOBILIARIOS S.A.</t>
  </si>
  <si>
    <t>11 37797057</t>
  </si>
  <si>
    <t>marcelo.mello@sulamerica.com.br</t>
  </si>
  <si>
    <t>www.sulamerica.com.br</t>
  </si>
  <si>
    <t>S3 CACEIS BRASIL DISTRIBUIDORA DE TÍTULOS E VALORES MOBILIÁRIOS S.A.</t>
  </si>
  <si>
    <t>SIM — 2264 classes</t>
  </si>
  <si>
    <t>11 35533200</t>
  </si>
  <si>
    <t>s3_compliance@s3caceis.com.br</t>
  </si>
  <si>
    <t>www.s3dtvm.com.br</t>
  </si>
  <si>
    <t>BEM - DISTRIBUIDORA DE TITULOS E VALORES MOBILIARIOS LTDA</t>
  </si>
  <si>
    <t>Osasco</t>
  </si>
  <si>
    <t>11 36844705</t>
  </si>
  <si>
    <t>4260.guilherme@bradesco.com.br</t>
  </si>
  <si>
    <t>SICOOB DISTRIBUIDORA DE TÍTULOS E VALORES MOBILIÁRIOS LTDA.</t>
  </si>
  <si>
    <t>DF</t>
  </si>
  <si>
    <t>Brasília</t>
  </si>
  <si>
    <t>61 32175315</t>
  </si>
  <si>
    <t>fundos@bancoob.com.br</t>
  </si>
  <si>
    <t>INTER DISTRIBUIDORA DE TITULOS E VALORES MOBILIARIOS LTDA</t>
  </si>
  <si>
    <t>SIM — 91 classes</t>
  </si>
  <si>
    <t>31 21017000</t>
  </si>
  <si>
    <t>complianceinstitucional@bancointer.com.br</t>
  </si>
  <si>
    <t>https://inter.co/ouvidoria/#form-ouvidoria</t>
  </si>
  <si>
    <t>TERRA INVESTIMENTOS DISTRIBUIDORA DE TÍTULOS E VALORES MOBILIÁRIOS LTDA.</t>
  </si>
  <si>
    <t>SIM — 141 classes</t>
  </si>
  <si>
    <t>11 31656048</t>
  </si>
  <si>
    <t>terrainvestimentos@terrainvestimentos.com</t>
  </si>
  <si>
    <t>http://www.terrainvestimentos.com.br</t>
  </si>
  <si>
    <t>BARU DISTRIBUIDORA DE TÍTULOS E VALORES MOBILIÁRIOS LTDA.</t>
  </si>
  <si>
    <t>SIM — 22 classes</t>
  </si>
  <si>
    <t>51 25011789</t>
  </si>
  <si>
    <t>contato@barucred.com.br</t>
  </si>
  <si>
    <t>MERCANTIL DO BRASIL DISTRIBUIDORA S.A. - TÍTULOS E VALORES MOBILIÁRIOS</t>
  </si>
  <si>
    <t>31 30576281</t>
  </si>
  <si>
    <t>mb.controladoria@mercantil.com.br</t>
  </si>
  <si>
    <t>www.mercantil.com.br</t>
  </si>
  <si>
    <t>BB GESTÃO DE RECURSOS - DISTRIBUIDORA DE TÍTULOS E VALORES MOBILIÁRIOS S.A.</t>
  </si>
  <si>
    <t>21 38087748</t>
  </si>
  <si>
    <t>bbasset@bb.com.br</t>
  </si>
  <si>
    <t>www.bb.com.br/bbasset</t>
  </si>
  <si>
    <t>INTRAG DISTRIBUIDORA DE TITULOS E VALORES MOBILIARIOS LTDA.</t>
  </si>
  <si>
    <t>SIM — 3 classes</t>
  </si>
  <si>
    <t>11 50199968</t>
  </si>
  <si>
    <t>relacionamento.bacen@itau-unibanco.com.br</t>
  </si>
  <si>
    <t>www.intrag.com.br</t>
  </si>
  <si>
    <t>BRL TRUST DISTRIBUIDORA DE TÍTULOS E VALORES MOBILIÁRIOS S.A.</t>
  </si>
  <si>
    <t>SIM — 590 classes</t>
  </si>
  <si>
    <t>11 31330350</t>
  </si>
  <si>
    <t>juridico.admfiduciaria@apexgroup.com</t>
  </si>
  <si>
    <t>www.brltrust.com.br</t>
  </si>
  <si>
    <t>VX PAVARINI DISTRIBUIDORA DE TÍTULOS E VALORES MOBILIÁRIOS LTDA</t>
  </si>
  <si>
    <t>11 30307177</t>
  </si>
  <si>
    <t>legalteam@vortx.com.br</t>
  </si>
  <si>
    <t>https://www.vortx.com.br/</t>
  </si>
  <si>
    <t>TRUSTEE DISTRIBUIDORA DE TÍTULOS E VALORES MOBILIÁRIOS LTDA.</t>
  </si>
  <si>
    <t>SIM — 242 classes</t>
  </si>
  <si>
    <t>1998</t>
  </si>
  <si>
    <t>11 21974400</t>
  </si>
  <si>
    <t>corporativo@trusteedtvm.com.br</t>
  </si>
  <si>
    <t>www.trusteedtvm.com.br</t>
  </si>
  <si>
    <t>MONETAR DISTRIBUIDORA DE TÍTULOS E VALORES MOBILIÁRIOS LTDA.</t>
  </si>
  <si>
    <t>11 31656065</t>
  </si>
  <si>
    <t>compliance@terrainvestimentos.com.br</t>
  </si>
  <si>
    <t>www.monetar.com.br</t>
  </si>
  <si>
    <t>SRM DISTRIBUIDORA DE TÍTULOS E VALORES MOBILIÁRIOS LTDA.</t>
  </si>
  <si>
    <t>11 33342103</t>
  </si>
  <si>
    <t>marcelo.otelac@srmasset.com</t>
  </si>
  <si>
    <t>www.srmasset.com</t>
  </si>
  <si>
    <t>VORTX DISTRIBUIDORA DE TITULOS E VALORES MOBILIARIOS LTDA.</t>
  </si>
  <si>
    <t>SIM — 497 classes</t>
  </si>
  <si>
    <t>www.vortx.com.br</t>
  </si>
  <si>
    <t>BANVOX DISTRIBUIDORA DE TÍTULOS E VALORES MOBILIÁRIOS LTDA</t>
  </si>
  <si>
    <t>SIM — 67 classes</t>
  </si>
  <si>
    <t>11 21974582</t>
  </si>
  <si>
    <t>diretoria@banvox.com.br</t>
  </si>
  <si>
    <t>www.banvox.com.br</t>
  </si>
  <si>
    <t>MAF DISTRIBUIDORA DE TÍTULOS E VALORES MOBILIÁRIOS S.A.</t>
  </si>
  <si>
    <t>SIM — 98 classes</t>
  </si>
  <si>
    <t>21 45601000</t>
  </si>
  <si>
    <t>www.mafdtvm.com.br</t>
  </si>
  <si>
    <t>TIVIO CAPITAL DISTRIBUIDORA DE TÍTULOS E VALORES MOBILIÁRIOS S.A.</t>
  </si>
  <si>
    <t>SIM — 4 classes</t>
  </si>
  <si>
    <t>11 41602050</t>
  </si>
  <si>
    <t>governanca@tivio.com</t>
  </si>
  <si>
    <t>https://www.tivio.com/</t>
  </si>
  <si>
    <t>4UM DISTRIBUIDORA DE TÍTULOS E VALORES MOBILIÁRIOS S.A.</t>
  </si>
  <si>
    <t>41 33519966</t>
  </si>
  <si>
    <t>atendimento@4um.com.br</t>
  </si>
  <si>
    <t>jmi.com.br</t>
  </si>
  <si>
    <t>ARGUS — SEGUNDAS OPÇÕES DE PARCEIRO (gerado em 12/07/2026 a partir do Master do bancos_alvo.xlsx)</t>
  </si>
  <si>
    <t>O QUE É ESTA PLANILHA</t>
  </si>
  <si>
    <t>· Reserva estratégica: só abrir DEPOIS de esgotar o CRM principal (contatos_prospeccao.xlsx, 46 alvos).</t>
  </si>
  <si>
    <t>· NÃO há sobreposição com o CRM principal: lá ficam os &lt;= R$ 400 mi sem administradora; aqui, a banda R$ 0,4–20 bi + as DTVMs que já administram.</t>
  </si>
  <si>
    <t>· 'Não tão grandes assim': teto de R$ 20 bi em qualquer métrica de escala + gigantes de varejo/estatais/estrangeiros/captivos fora por perfil (nada de Itaú).</t>
  </si>
  <si>
    <t>AS ABAS</t>
  </si>
  <si>
    <t>· Bancos médios / Corretoras médias / DTVMs não-adm médias — mesmos tipos do CRM principal (duas licenças ao alcance), só que maiores: decisão mais lenta, mais comitês, menos fome — por isso são 2ª opção.</t>
  </si>
  <si>
    <t>· DTVMs administradoras — JÁ têm retaguarda de fundos: risco MÁXIMO de ouvirem a ideia e seguirem sozinhas. Último recurso antes de arquivar o projeto: NDA reforçado, deck/demo só com contrato, sem one-pager no 1º contato.</t>
  </si>
  <si>
    <t>· As colunas 'Gestor CVM?' e 'Já custodia?' mostram proximidade com o mundo de fundos (personalização).</t>
  </si>
  <si>
    <t>· Nas DTVMs administradoras, 'Ativo Total' em branco = não reporta balanço solo ao IFDATA (normal nas casas de serviços: Vórtx, BRL, Oliveira Trust...). O porte operacional delas está no nº de classes custodiadas.</t>
  </si>
  <si>
    <t>COMO USAR (igual ao CRM principal)</t>
  </si>
  <si>
    <t>· Colunas AMARELAS são as suas; 'Follow-up em' calcula sozinho (+5 dias úteis do 1º contato).</t>
  </si>
  <si>
    <t>· Status sugeridos: A CONTATAR → ENVIADO → FOLLOW-UP → CONVERSA → REUNIÃO → LOI → DESCARTADO.</t>
  </si>
  <si>
    <t>TOTAIS (fórmulas ao vivo):</t>
  </si>
  <si>
    <t>Bancos médios:</t>
  </si>
  <si>
    <t>Corretoras (CTVM) médias:</t>
  </si>
  <si>
    <t>DTVMs não-adm (médias):</t>
  </si>
  <si>
    <t>DTVMs administradoras: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</si>
</sst>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  <font>
      <b/>
      <sz val="10"/>
      <name val="Arial"/>
    </font>
    <font>
      <b/>
      <sz val="10"/>
      <color rgb="FF0D7A3F"/>
      <name val="Arial"/>
    </font>
  </fonts>
  <fills count="5">
    <fill>
      <patternFill patternType="none"/>
    </fill>
    <fill>
      <patternFill patternType="gray125"/>
    </fill>
    <fill>
      <patternFill patternType="solid">
        <fgColor rgb="FF17123A"/>
      </patternFill>
    </fill>
    <fill>
      <patternFill patternType="solid">
        <fgColor rgb="FFFFF2CC"/>
      </patternFill>
    </fill>
    <fill>
      <patternFill patternType="solid">
        <fgColor rgb="FFEDEDF7"/>
      </patternFill>
    </fill>
  </fills>
  <borders count="2">
    <border>
      <left/>
      <right/>
      <top/>
      <bottom/>
      <diagonal/>
    </border>
    <border>
      <left/>
      <right/>
      <top/>
      <bottom style="thin">
        <color rgb="FFE7E8F2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vertical="center"/>
    </xf>
    <xf numFmtId="0" fontId="3" fillId="0" borderId="1" xfId="0" applyFont="1" applyBorder="1" applyAlignment="1">
      <alignment vertical="top"/>
    </xf>
    <xf numFmtId="0" fontId="2" fillId="0" borderId="1" xfId="0" applyFont="1" applyBorder="1" applyAlignment="1">
      <alignment vertical="top"/>
    </xf>
    <xf numFmtId="3" fontId="2" fillId="0" borderId="1" xfId="0" applyNumberFormat="1" applyFont="1" applyBorder="1" applyAlignment="1">
      <alignment vertical="top"/>
    </xf>
    <xf numFmtId="0" fontId="2" fillId="3" borderId="1" xfId="0" applyFont="1" applyFill="1" applyBorder="1" applyAlignment="1">
      <alignment vertical="top"/>
    </xf>
    <xf numFmtId="14" fontId="2" fillId="3" borderId="1" xfId="0" applyNumberFormat="1" applyFont="1" applyFill="1" applyBorder="1" applyAlignment="1">
      <alignment vertical="top"/>
    </xf>
    <xf numFmtId="14" fontId="2" fillId="4" borderId="1" xfId="0" applyNumberFormat="1" applyFont="1" applyFill="1" applyBorder="1" applyAlignment="1">
      <alignment vertical="top"/>
    </xf>
    <xf numFmtId="0" fontId="4" fillId="0" borderId="1" xfId="0" applyFont="1" applyBorder="1" applyAlignment="1">
      <alignment vertical="top"/>
    </xf>
    <xf numFmtId="0" fontId="3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7123A"/>
  </sheetPr>
  <dimension ref="A1:Y68"/>
  <sheetViews>
    <sheetView tabSelected="1"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22" customWidth="1"/>
    <col min="2" max="2" width="46" customWidth="1"/>
    <col min="3" max="3" width="26" customWidth="1"/>
    <col min="4" max="4" width="5" customWidth="1"/>
    <col min="5" max="5" width="15" customWidth="1"/>
    <col min="6" max="7" width="16" customWidth="1"/>
    <col min="8" max="8" width="15" customWidth="1"/>
    <col min="9" max="9" width="10" customWidth="1"/>
    <col min="10" max="10" width="9" customWidth="1"/>
    <col min="11" max="11" width="14" customWidth="1"/>
    <col min="12" max="12" width="30" customWidth="1"/>
    <col min="13" max="13" width="24" customWidth="1"/>
    <col min="14" max="14" width="52" customWidth="1"/>
    <col min="15" max="15" width="40" customWidth="1"/>
    <col min="16" max="16" width="26" customWidth="1"/>
    <col min="17" max="17" width="18" customWidth="1"/>
    <col min="18" max="18" width="14" customWidth="1"/>
    <col min="19" max="19" width="24" customWidth="1"/>
    <col min="20" max="20" width="14" customWidth="1"/>
    <col min="21" max="22" width="12" customWidth="1"/>
    <col min="23" max="23" width="16" customWidth="1"/>
    <col min="24" max="24" width="18" customWidth="1"/>
    <col min="25" max="25" width="28" customWidth="1"/>
  </cols>
  <sheetData>
    <row r="1" spans="1:2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3">
      <c r="A2" s="2" t="s">
        <v>25</v>
      </c>
      <c r="B2" s="3" t="s">
        <v>26</v>
      </c>
      <c r="C2" s="3" t="s">
        <v>27</v>
      </c>
      <c r="D2" s="3" t="s">
        <v>28</v>
      </c>
      <c r="E2" s="3" t="s">
        <v>29</v>
      </c>
      <c r="F2" s="4">
        <v>669001872.00999999</v>
      </c>
      <c r="G2" s="4">
        <v>669001872.00999999</v>
      </c>
      <c r="H2" s="3"/>
      <c r="I2" s="3"/>
      <c r="J2" s="3" t="s">
        <v>30</v>
      </c>
      <c r="K2" s="3" t="s">
        <v>31</v>
      </c>
      <c r="L2" s="3" t="s">
        <v>32</v>
      </c>
      <c r="M2" s="3" t="s">
        <v>33</v>
      </c>
      <c r="N2" s="3" t="s">
        <v>34</v>
      </c>
      <c r="O2" s="3" t="s">
        <v>35</v>
      </c>
      <c r="P2" s="3" t="s">
        <v>36</v>
      </c>
      <c r="Q2" s="5"/>
      <c r="R2" s="5"/>
      <c r="S2" s="5"/>
      <c r="T2" s="5"/>
      <c r="U2" s="6"/>
      <c r="V2" s="7" t="str">
        <f t="shared" ref="V2:V33" si="0">IF(U2="","",WORKDAY(U2,5))</f>
        <v/>
      </c>
      <c r="W2" s="5"/>
      <c r="X2" s="5"/>
      <c r="Y2" s="5"/>
    </row>
    <row r="3" spans="1:25" x14ac:dyDescent="0.3">
      <c r="A3" s="2" t="s">
        <v>25</v>
      </c>
      <c r="B3" s="3" t="s">
        <v>37</v>
      </c>
      <c r="C3" s="3" t="s">
        <v>27</v>
      </c>
      <c r="D3" s="3" t="s">
        <v>38</v>
      </c>
      <c r="E3" s="3" t="s">
        <v>39</v>
      </c>
      <c r="F3" s="4">
        <v>698144780.92999995</v>
      </c>
      <c r="G3" s="4">
        <v>698144780.92999995</v>
      </c>
      <c r="H3" s="3"/>
      <c r="I3" s="3"/>
      <c r="J3" s="3"/>
      <c r="K3" s="3" t="s">
        <v>40</v>
      </c>
      <c r="L3" s="3" t="s">
        <v>41</v>
      </c>
      <c r="M3" s="3"/>
      <c r="N3" s="3" t="s">
        <v>34</v>
      </c>
      <c r="O3" s="3" t="s">
        <v>35</v>
      </c>
      <c r="P3" s="3" t="s">
        <v>36</v>
      </c>
      <c r="Q3" s="5"/>
      <c r="R3" s="5"/>
      <c r="S3" s="5"/>
      <c r="T3" s="5"/>
      <c r="U3" s="6"/>
      <c r="V3" s="7" t="str">
        <f t="shared" si="0"/>
        <v/>
      </c>
      <c r="W3" s="5"/>
      <c r="X3" s="5"/>
      <c r="Y3" s="5"/>
    </row>
    <row r="4" spans="1:25" x14ac:dyDescent="0.3">
      <c r="A4" s="2" t="s">
        <v>25</v>
      </c>
      <c r="B4" s="3" t="s">
        <v>42</v>
      </c>
      <c r="C4" s="3" t="s">
        <v>43</v>
      </c>
      <c r="D4" s="3" t="s">
        <v>44</v>
      </c>
      <c r="E4" s="3" t="s">
        <v>45</v>
      </c>
      <c r="F4" s="4">
        <v>1099532202.28</v>
      </c>
      <c r="G4" s="4">
        <v>1099532202.28</v>
      </c>
      <c r="H4" s="3"/>
      <c r="I4" s="3"/>
      <c r="J4" s="3" t="s">
        <v>46</v>
      </c>
      <c r="K4" s="3" t="s">
        <v>47</v>
      </c>
      <c r="L4" s="3" t="s">
        <v>48</v>
      </c>
      <c r="M4" s="3" t="s">
        <v>49</v>
      </c>
      <c r="N4" s="3" t="s">
        <v>34</v>
      </c>
      <c r="O4" s="3" t="s">
        <v>35</v>
      </c>
      <c r="P4" s="3" t="s">
        <v>36</v>
      </c>
      <c r="Q4" s="5"/>
      <c r="R4" s="5"/>
      <c r="S4" s="5"/>
      <c r="T4" s="5"/>
      <c r="U4" s="6"/>
      <c r="V4" s="7" t="str">
        <f t="shared" si="0"/>
        <v/>
      </c>
      <c r="W4" s="5"/>
      <c r="X4" s="5"/>
      <c r="Y4" s="5"/>
    </row>
    <row r="5" spans="1:25" x14ac:dyDescent="0.3">
      <c r="A5" s="2" t="s">
        <v>25</v>
      </c>
      <c r="B5" s="3" t="s">
        <v>50</v>
      </c>
      <c r="C5" s="3" t="s">
        <v>27</v>
      </c>
      <c r="D5" s="3" t="s">
        <v>51</v>
      </c>
      <c r="E5" s="3" t="s">
        <v>52</v>
      </c>
      <c r="F5" s="4">
        <v>1182889189.4400001</v>
      </c>
      <c r="G5" s="4">
        <v>1182889189.4400001</v>
      </c>
      <c r="H5" s="8" t="s">
        <v>53</v>
      </c>
      <c r="I5" s="3"/>
      <c r="J5" s="3" t="s">
        <v>54</v>
      </c>
      <c r="K5" s="3" t="s">
        <v>55</v>
      </c>
      <c r="L5" s="3" t="s">
        <v>56</v>
      </c>
      <c r="M5" s="3" t="s">
        <v>57</v>
      </c>
      <c r="N5" s="3" t="s">
        <v>34</v>
      </c>
      <c r="O5" s="3" t="s">
        <v>35</v>
      </c>
      <c r="P5" s="3" t="s">
        <v>36</v>
      </c>
      <c r="Q5" s="5"/>
      <c r="R5" s="5"/>
      <c r="S5" s="5"/>
      <c r="T5" s="5"/>
      <c r="U5" s="6"/>
      <c r="V5" s="7" t="str">
        <f t="shared" si="0"/>
        <v/>
      </c>
      <c r="W5" s="5"/>
      <c r="X5" s="5"/>
      <c r="Y5" s="5"/>
    </row>
    <row r="6" spans="1:25" x14ac:dyDescent="0.3">
      <c r="A6" s="2" t="s">
        <v>25</v>
      </c>
      <c r="B6" s="3" t="s">
        <v>58</v>
      </c>
      <c r="C6" s="3" t="s">
        <v>27</v>
      </c>
      <c r="D6" s="3" t="s">
        <v>28</v>
      </c>
      <c r="E6" s="3" t="s">
        <v>29</v>
      </c>
      <c r="F6" s="4">
        <v>1693894165.0599999</v>
      </c>
      <c r="G6" s="4">
        <v>1693894165.0599999</v>
      </c>
      <c r="H6" s="8" t="s">
        <v>59</v>
      </c>
      <c r="I6" s="3"/>
      <c r="J6" s="3" t="s">
        <v>60</v>
      </c>
      <c r="K6" s="3" t="s">
        <v>61</v>
      </c>
      <c r="L6" s="3" t="s">
        <v>62</v>
      </c>
      <c r="M6" s="3" t="s">
        <v>63</v>
      </c>
      <c r="N6" s="3" t="s">
        <v>34</v>
      </c>
      <c r="O6" s="3" t="s">
        <v>35</v>
      </c>
      <c r="P6" s="3" t="s">
        <v>36</v>
      </c>
      <c r="Q6" s="5"/>
      <c r="R6" s="5"/>
      <c r="S6" s="5"/>
      <c r="T6" s="5"/>
      <c r="U6" s="6"/>
      <c r="V6" s="7" t="str">
        <f t="shared" si="0"/>
        <v/>
      </c>
      <c r="W6" s="5"/>
      <c r="X6" s="5"/>
      <c r="Y6" s="5"/>
    </row>
    <row r="7" spans="1:25" x14ac:dyDescent="0.3">
      <c r="A7" s="2" t="s">
        <v>25</v>
      </c>
      <c r="B7" s="3" t="s">
        <v>64</v>
      </c>
      <c r="C7" s="3" t="s">
        <v>65</v>
      </c>
      <c r="D7" s="3" t="s">
        <v>38</v>
      </c>
      <c r="E7" s="3" t="s">
        <v>39</v>
      </c>
      <c r="F7" s="4">
        <v>1700000000</v>
      </c>
      <c r="G7" s="4">
        <v>1700000000</v>
      </c>
      <c r="H7" s="3"/>
      <c r="I7" s="3"/>
      <c r="J7" s="3"/>
      <c r="K7" s="3" t="s">
        <v>66</v>
      </c>
      <c r="L7" s="3" t="s">
        <v>67</v>
      </c>
      <c r="M7" s="3" t="s">
        <v>68</v>
      </c>
      <c r="N7" s="3" t="s">
        <v>34</v>
      </c>
      <c r="O7" s="3" t="s">
        <v>35</v>
      </c>
      <c r="P7" s="3" t="s">
        <v>36</v>
      </c>
      <c r="Q7" s="5"/>
      <c r="R7" s="5"/>
      <c r="S7" s="5"/>
      <c r="T7" s="5"/>
      <c r="U7" s="6"/>
      <c r="V7" s="7" t="str">
        <f t="shared" si="0"/>
        <v/>
      </c>
      <c r="W7" s="5"/>
      <c r="X7" s="5"/>
      <c r="Y7" s="5" t="s">
        <v>69</v>
      </c>
    </row>
    <row r="8" spans="1:25" x14ac:dyDescent="0.3">
      <c r="A8" s="2" t="s">
        <v>25</v>
      </c>
      <c r="B8" s="3" t="s">
        <v>70</v>
      </c>
      <c r="C8" s="3" t="s">
        <v>27</v>
      </c>
      <c r="D8" s="3" t="s">
        <v>28</v>
      </c>
      <c r="E8" s="3" t="s">
        <v>71</v>
      </c>
      <c r="F8" s="4">
        <v>1922909547.1500001</v>
      </c>
      <c r="G8" s="4">
        <v>1922909547.1500001</v>
      </c>
      <c r="H8" s="3"/>
      <c r="I8" s="3"/>
      <c r="J8" s="3"/>
      <c r="K8" s="3" t="s">
        <v>72</v>
      </c>
      <c r="L8" s="3" t="s">
        <v>73</v>
      </c>
      <c r="M8" s="3" t="s">
        <v>74</v>
      </c>
      <c r="N8" s="3" t="s">
        <v>34</v>
      </c>
      <c r="O8" s="3" t="s">
        <v>35</v>
      </c>
      <c r="P8" s="3" t="s">
        <v>36</v>
      </c>
      <c r="Q8" s="5"/>
      <c r="R8" s="5"/>
      <c r="S8" s="5"/>
      <c r="T8" s="5"/>
      <c r="U8" s="6"/>
      <c r="V8" s="7" t="str">
        <f t="shared" si="0"/>
        <v/>
      </c>
      <c r="W8" s="5"/>
      <c r="X8" s="5"/>
      <c r="Y8" s="5"/>
    </row>
    <row r="9" spans="1:25" x14ac:dyDescent="0.3">
      <c r="A9" s="2" t="s">
        <v>25</v>
      </c>
      <c r="B9" s="3" t="s">
        <v>75</v>
      </c>
      <c r="C9" s="3" t="s">
        <v>27</v>
      </c>
      <c r="D9" s="3" t="s">
        <v>28</v>
      </c>
      <c r="E9" s="3" t="s">
        <v>76</v>
      </c>
      <c r="F9" s="4">
        <v>1946608132.5899999</v>
      </c>
      <c r="G9" s="4">
        <v>1946608132.5899999</v>
      </c>
      <c r="H9" s="3"/>
      <c r="I9" s="3"/>
      <c r="J9" s="3" t="s">
        <v>54</v>
      </c>
      <c r="K9" s="3" t="s">
        <v>77</v>
      </c>
      <c r="L9" s="3" t="s">
        <v>78</v>
      </c>
      <c r="M9" s="3" t="s">
        <v>79</v>
      </c>
      <c r="N9" s="3" t="s">
        <v>34</v>
      </c>
      <c r="O9" s="3" t="s">
        <v>35</v>
      </c>
      <c r="P9" s="3" t="s">
        <v>36</v>
      </c>
      <c r="Q9" s="5"/>
      <c r="R9" s="5"/>
      <c r="S9" s="5"/>
      <c r="T9" s="5"/>
      <c r="U9" s="6"/>
      <c r="V9" s="7" t="str">
        <f t="shared" si="0"/>
        <v/>
      </c>
      <c r="W9" s="5"/>
      <c r="X9" s="5"/>
      <c r="Y9" s="5"/>
    </row>
    <row r="10" spans="1:25" x14ac:dyDescent="0.3">
      <c r="A10" s="2" t="s">
        <v>25</v>
      </c>
      <c r="B10" s="3" t="s">
        <v>80</v>
      </c>
      <c r="C10" s="3" t="s">
        <v>27</v>
      </c>
      <c r="D10" s="3" t="s">
        <v>28</v>
      </c>
      <c r="E10" s="3" t="s">
        <v>29</v>
      </c>
      <c r="F10" s="4">
        <v>2238107791.4000001</v>
      </c>
      <c r="G10" s="4">
        <v>2238107791.4000001</v>
      </c>
      <c r="H10" s="3"/>
      <c r="I10" s="3"/>
      <c r="J10" s="3" t="s">
        <v>81</v>
      </c>
      <c r="K10" s="3" t="s">
        <v>82</v>
      </c>
      <c r="L10" s="3" t="s">
        <v>83</v>
      </c>
      <c r="M10" s="3" t="s">
        <v>84</v>
      </c>
      <c r="N10" s="3" t="s">
        <v>34</v>
      </c>
      <c r="O10" s="3" t="s">
        <v>35</v>
      </c>
      <c r="P10" s="3" t="s">
        <v>36</v>
      </c>
      <c r="Q10" s="5"/>
      <c r="R10" s="5"/>
      <c r="S10" s="5"/>
      <c r="T10" s="5"/>
      <c r="U10" s="6"/>
      <c r="V10" s="7" t="str">
        <f t="shared" si="0"/>
        <v/>
      </c>
      <c r="W10" s="5"/>
      <c r="X10" s="5"/>
      <c r="Y10" s="5"/>
    </row>
    <row r="11" spans="1:25" x14ac:dyDescent="0.3">
      <c r="A11" s="2" t="s">
        <v>25</v>
      </c>
      <c r="B11" s="3" t="s">
        <v>85</v>
      </c>
      <c r="C11" s="3" t="s">
        <v>27</v>
      </c>
      <c r="D11" s="3" t="s">
        <v>86</v>
      </c>
      <c r="E11" s="3" t="s">
        <v>87</v>
      </c>
      <c r="F11" s="4">
        <v>2256775633.29</v>
      </c>
      <c r="G11" s="4">
        <v>2256775633.29</v>
      </c>
      <c r="H11" s="3"/>
      <c r="I11" s="3"/>
      <c r="J11" s="3" t="s">
        <v>88</v>
      </c>
      <c r="K11" s="3" t="s">
        <v>89</v>
      </c>
      <c r="L11" s="3" t="s">
        <v>90</v>
      </c>
      <c r="M11" s="3" t="s">
        <v>91</v>
      </c>
      <c r="N11" s="3" t="s">
        <v>34</v>
      </c>
      <c r="O11" s="3" t="s">
        <v>35</v>
      </c>
      <c r="P11" s="3" t="s">
        <v>36</v>
      </c>
      <c r="Q11" s="5"/>
      <c r="R11" s="5"/>
      <c r="S11" s="5"/>
      <c r="T11" s="5"/>
      <c r="U11" s="6"/>
      <c r="V11" s="7" t="str">
        <f t="shared" si="0"/>
        <v/>
      </c>
      <c r="W11" s="5"/>
      <c r="X11" s="5"/>
      <c r="Y11" s="5"/>
    </row>
    <row r="12" spans="1:25" x14ac:dyDescent="0.3">
      <c r="A12" s="2" t="s">
        <v>25</v>
      </c>
      <c r="B12" s="3" t="s">
        <v>92</v>
      </c>
      <c r="C12" s="3" t="s">
        <v>27</v>
      </c>
      <c r="D12" s="3" t="s">
        <v>44</v>
      </c>
      <c r="E12" s="3" t="s">
        <v>45</v>
      </c>
      <c r="F12" s="4">
        <v>2315914776.4200001</v>
      </c>
      <c r="G12" s="4">
        <v>2315914776.4200001</v>
      </c>
      <c r="H12" s="3"/>
      <c r="I12" s="3"/>
      <c r="J12" s="3" t="s">
        <v>93</v>
      </c>
      <c r="K12" s="3" t="s">
        <v>94</v>
      </c>
      <c r="L12" s="3" t="s">
        <v>95</v>
      </c>
      <c r="M12" s="3" t="s">
        <v>96</v>
      </c>
      <c r="N12" s="3" t="s">
        <v>34</v>
      </c>
      <c r="O12" s="3" t="s">
        <v>35</v>
      </c>
      <c r="P12" s="3" t="s">
        <v>36</v>
      </c>
      <c r="Q12" s="5"/>
      <c r="R12" s="5"/>
      <c r="S12" s="5"/>
      <c r="T12" s="5"/>
      <c r="U12" s="6"/>
      <c r="V12" s="7" t="str">
        <f t="shared" si="0"/>
        <v/>
      </c>
      <c r="W12" s="5"/>
      <c r="X12" s="5"/>
      <c r="Y12" s="5"/>
    </row>
    <row r="13" spans="1:25" x14ac:dyDescent="0.3">
      <c r="A13" s="2" t="s">
        <v>25</v>
      </c>
      <c r="B13" s="3" t="s">
        <v>97</v>
      </c>
      <c r="C13" s="3" t="s">
        <v>27</v>
      </c>
      <c r="D13" s="3" t="s">
        <v>44</v>
      </c>
      <c r="E13" s="3" t="s">
        <v>45</v>
      </c>
      <c r="F13" s="4">
        <v>2396070586.02</v>
      </c>
      <c r="G13" s="4">
        <v>2396070586.02</v>
      </c>
      <c r="H13" s="8" t="s">
        <v>53</v>
      </c>
      <c r="I13" s="3"/>
      <c r="J13" s="3" t="s">
        <v>98</v>
      </c>
      <c r="K13" s="3" t="s">
        <v>99</v>
      </c>
      <c r="L13" s="3" t="s">
        <v>100</v>
      </c>
      <c r="M13" s="3" t="s">
        <v>101</v>
      </c>
      <c r="N13" s="3" t="s">
        <v>34</v>
      </c>
      <c r="O13" s="3" t="s">
        <v>35</v>
      </c>
      <c r="P13" s="3" t="s">
        <v>36</v>
      </c>
      <c r="Q13" s="5"/>
      <c r="R13" s="5"/>
      <c r="S13" s="5"/>
      <c r="T13" s="5"/>
      <c r="U13" s="6"/>
      <c r="V13" s="7" t="str">
        <f t="shared" si="0"/>
        <v/>
      </c>
      <c r="W13" s="5"/>
      <c r="X13" s="5"/>
      <c r="Y13" s="5"/>
    </row>
    <row r="14" spans="1:25" x14ac:dyDescent="0.3">
      <c r="A14" s="2" t="s">
        <v>25</v>
      </c>
      <c r="B14" s="3" t="s">
        <v>102</v>
      </c>
      <c r="C14" s="3" t="s">
        <v>65</v>
      </c>
      <c r="D14" s="3" t="s">
        <v>28</v>
      </c>
      <c r="E14" s="3" t="s">
        <v>29</v>
      </c>
      <c r="F14" s="4">
        <v>2800000000</v>
      </c>
      <c r="G14" s="4">
        <v>2800000000</v>
      </c>
      <c r="H14" s="3"/>
      <c r="I14" s="3"/>
      <c r="J14" s="3"/>
      <c r="K14" s="3" t="s">
        <v>103</v>
      </c>
      <c r="L14" s="3" t="s">
        <v>104</v>
      </c>
      <c r="M14" s="3" t="s">
        <v>105</v>
      </c>
      <c r="N14" s="3" t="s">
        <v>34</v>
      </c>
      <c r="O14" s="3" t="s">
        <v>35</v>
      </c>
      <c r="P14" s="3" t="s">
        <v>36</v>
      </c>
      <c r="Q14" s="5"/>
      <c r="R14" s="5"/>
      <c r="S14" s="5"/>
      <c r="T14" s="5"/>
      <c r="U14" s="6"/>
      <c r="V14" s="7" t="str">
        <f t="shared" si="0"/>
        <v/>
      </c>
      <c r="W14" s="5"/>
      <c r="X14" s="5"/>
      <c r="Y14" s="5" t="s">
        <v>106</v>
      </c>
    </row>
    <row r="15" spans="1:25" x14ac:dyDescent="0.3">
      <c r="A15" s="2" t="s">
        <v>25</v>
      </c>
      <c r="B15" s="3" t="s">
        <v>107</v>
      </c>
      <c r="C15" s="3" t="s">
        <v>27</v>
      </c>
      <c r="D15" s="3" t="s">
        <v>28</v>
      </c>
      <c r="E15" s="3" t="s">
        <v>29</v>
      </c>
      <c r="F15" s="4">
        <v>3728901351.1999998</v>
      </c>
      <c r="G15" s="4">
        <v>3728901351.1999998</v>
      </c>
      <c r="H15" s="3"/>
      <c r="I15" s="3"/>
      <c r="J15" s="3" t="s">
        <v>108</v>
      </c>
      <c r="K15" s="3" t="s">
        <v>109</v>
      </c>
      <c r="L15" s="3" t="s">
        <v>110</v>
      </c>
      <c r="M15" s="3" t="s">
        <v>111</v>
      </c>
      <c r="N15" s="3" t="s">
        <v>34</v>
      </c>
      <c r="O15" s="3" t="s">
        <v>35</v>
      </c>
      <c r="P15" s="3" t="s">
        <v>36</v>
      </c>
      <c r="Q15" s="5"/>
      <c r="R15" s="5"/>
      <c r="S15" s="5"/>
      <c r="T15" s="5"/>
      <c r="U15" s="6"/>
      <c r="V15" s="7" t="str">
        <f t="shared" si="0"/>
        <v/>
      </c>
      <c r="W15" s="5"/>
      <c r="X15" s="5"/>
      <c r="Y15" s="5"/>
    </row>
    <row r="16" spans="1:25" x14ac:dyDescent="0.3">
      <c r="A16" s="2" t="s">
        <v>25</v>
      </c>
      <c r="B16" s="3" t="s">
        <v>112</v>
      </c>
      <c r="C16" s="3" t="s">
        <v>27</v>
      </c>
      <c r="D16" s="3" t="s">
        <v>28</v>
      </c>
      <c r="E16" s="3" t="s">
        <v>29</v>
      </c>
      <c r="F16" s="4">
        <v>3897155229.4499998</v>
      </c>
      <c r="G16" s="4">
        <v>3897155229.4499998</v>
      </c>
      <c r="H16" s="3"/>
      <c r="I16" s="3"/>
      <c r="J16" s="3" t="s">
        <v>98</v>
      </c>
      <c r="K16" s="3" t="s">
        <v>113</v>
      </c>
      <c r="L16" s="3" t="s">
        <v>114</v>
      </c>
      <c r="M16" s="3" t="s">
        <v>115</v>
      </c>
      <c r="N16" s="3" t="s">
        <v>34</v>
      </c>
      <c r="O16" s="3" t="s">
        <v>35</v>
      </c>
      <c r="P16" s="3" t="s">
        <v>36</v>
      </c>
      <c r="Q16" s="5"/>
      <c r="R16" s="5"/>
      <c r="S16" s="5"/>
      <c r="T16" s="5"/>
      <c r="U16" s="6"/>
      <c r="V16" s="7" t="str">
        <f t="shared" si="0"/>
        <v/>
      </c>
      <c r="W16" s="5"/>
      <c r="X16" s="5"/>
      <c r="Y16" s="5"/>
    </row>
    <row r="17" spans="1:25" x14ac:dyDescent="0.3">
      <c r="A17" s="2" t="s">
        <v>25</v>
      </c>
      <c r="B17" s="3" t="s">
        <v>116</v>
      </c>
      <c r="C17" s="3" t="s">
        <v>27</v>
      </c>
      <c r="D17" s="3" t="s">
        <v>86</v>
      </c>
      <c r="E17" s="3" t="s">
        <v>87</v>
      </c>
      <c r="F17" s="4">
        <v>4070494253.0300002</v>
      </c>
      <c r="G17" s="4">
        <v>4070494253.0300002</v>
      </c>
      <c r="H17" s="3"/>
      <c r="I17" s="3"/>
      <c r="J17" s="3" t="s">
        <v>81</v>
      </c>
      <c r="K17" s="3" t="s">
        <v>117</v>
      </c>
      <c r="L17" s="3" t="s">
        <v>118</v>
      </c>
      <c r="M17" s="3" t="s">
        <v>119</v>
      </c>
      <c r="N17" s="3" t="s">
        <v>34</v>
      </c>
      <c r="O17" s="3" t="s">
        <v>35</v>
      </c>
      <c r="P17" s="3" t="s">
        <v>36</v>
      </c>
      <c r="Q17" s="5"/>
      <c r="R17" s="5"/>
      <c r="S17" s="5"/>
      <c r="T17" s="5"/>
      <c r="U17" s="6"/>
      <c r="V17" s="7" t="str">
        <f t="shared" si="0"/>
        <v/>
      </c>
      <c r="W17" s="5"/>
      <c r="X17" s="5"/>
      <c r="Y17" s="5"/>
    </row>
    <row r="18" spans="1:25" x14ac:dyDescent="0.3">
      <c r="A18" s="2" t="s">
        <v>25</v>
      </c>
      <c r="B18" s="3" t="s">
        <v>120</v>
      </c>
      <c r="C18" s="3" t="s">
        <v>27</v>
      </c>
      <c r="D18" s="3" t="s">
        <v>51</v>
      </c>
      <c r="E18" s="3" t="s">
        <v>121</v>
      </c>
      <c r="F18" s="4">
        <v>4374743786.4399996</v>
      </c>
      <c r="G18" s="4">
        <v>4374743786.4399996</v>
      </c>
      <c r="H18" s="3"/>
      <c r="I18" s="3"/>
      <c r="J18" s="3" t="s">
        <v>122</v>
      </c>
      <c r="K18" s="3" t="s">
        <v>123</v>
      </c>
      <c r="L18" s="3" t="s">
        <v>124</v>
      </c>
      <c r="M18" s="3" t="s">
        <v>125</v>
      </c>
      <c r="N18" s="3" t="s">
        <v>34</v>
      </c>
      <c r="O18" s="3" t="s">
        <v>35</v>
      </c>
      <c r="P18" s="3" t="s">
        <v>36</v>
      </c>
      <c r="Q18" s="5"/>
      <c r="R18" s="5"/>
      <c r="S18" s="5"/>
      <c r="T18" s="5"/>
      <c r="U18" s="6"/>
      <c r="V18" s="7" t="str">
        <f t="shared" si="0"/>
        <v/>
      </c>
      <c r="W18" s="5"/>
      <c r="X18" s="5"/>
      <c r="Y18" s="5"/>
    </row>
    <row r="19" spans="1:25" x14ac:dyDescent="0.3">
      <c r="A19" s="2" t="s">
        <v>25</v>
      </c>
      <c r="B19" s="3" t="s">
        <v>126</v>
      </c>
      <c r="C19" s="3" t="s">
        <v>27</v>
      </c>
      <c r="D19" s="3" t="s">
        <v>51</v>
      </c>
      <c r="E19" s="3" t="s">
        <v>52</v>
      </c>
      <c r="F19" s="4">
        <v>7568630142.2399998</v>
      </c>
      <c r="G19" s="4">
        <v>7568630142.2399998</v>
      </c>
      <c r="H19" s="3"/>
      <c r="I19" s="3"/>
      <c r="J19" s="3" t="s">
        <v>127</v>
      </c>
      <c r="K19" s="3" t="s">
        <v>128</v>
      </c>
      <c r="L19" s="3" t="s">
        <v>129</v>
      </c>
      <c r="M19" s="3" t="s">
        <v>130</v>
      </c>
      <c r="N19" s="3" t="s">
        <v>34</v>
      </c>
      <c r="O19" s="3" t="s">
        <v>35</v>
      </c>
      <c r="P19" s="3" t="s">
        <v>36</v>
      </c>
      <c r="Q19" s="5"/>
      <c r="R19" s="5"/>
      <c r="S19" s="5"/>
      <c r="T19" s="5"/>
      <c r="U19" s="6"/>
      <c r="V19" s="7" t="str">
        <f t="shared" si="0"/>
        <v/>
      </c>
      <c r="W19" s="5"/>
      <c r="X19" s="5"/>
      <c r="Y19" s="5"/>
    </row>
    <row r="20" spans="1:25" x14ac:dyDescent="0.3">
      <c r="A20" s="2" t="s">
        <v>25</v>
      </c>
      <c r="B20" s="3" t="s">
        <v>131</v>
      </c>
      <c r="C20" s="3" t="s">
        <v>65</v>
      </c>
      <c r="D20" s="3" t="s">
        <v>28</v>
      </c>
      <c r="E20" s="3" t="s">
        <v>29</v>
      </c>
      <c r="F20" s="4">
        <v>8300000000</v>
      </c>
      <c r="G20" s="4">
        <v>8300000000</v>
      </c>
      <c r="H20" s="3"/>
      <c r="I20" s="3"/>
      <c r="J20" s="3"/>
      <c r="K20" s="3" t="s">
        <v>132</v>
      </c>
      <c r="L20" s="3" t="s">
        <v>133</v>
      </c>
      <c r="M20" s="3" t="s">
        <v>134</v>
      </c>
      <c r="N20" s="3" t="s">
        <v>34</v>
      </c>
      <c r="O20" s="3" t="s">
        <v>35</v>
      </c>
      <c r="P20" s="3" t="s">
        <v>36</v>
      </c>
      <c r="Q20" s="5"/>
      <c r="R20" s="5"/>
      <c r="S20" s="5"/>
      <c r="T20" s="5"/>
      <c r="U20" s="6"/>
      <c r="V20" s="7" t="str">
        <f t="shared" si="0"/>
        <v/>
      </c>
      <c r="W20" s="5"/>
      <c r="X20" s="5"/>
      <c r="Y20" s="5" t="s">
        <v>135</v>
      </c>
    </row>
    <row r="21" spans="1:25" x14ac:dyDescent="0.3">
      <c r="A21" s="2" t="s">
        <v>25</v>
      </c>
      <c r="B21" s="3" t="s">
        <v>136</v>
      </c>
      <c r="C21" s="3" t="s">
        <v>27</v>
      </c>
      <c r="D21" s="3" t="s">
        <v>28</v>
      </c>
      <c r="E21" s="3" t="s">
        <v>29</v>
      </c>
      <c r="F21" s="4">
        <v>9287550097</v>
      </c>
      <c r="G21" s="4">
        <v>9287550097</v>
      </c>
      <c r="H21" s="3"/>
      <c r="I21" s="3"/>
      <c r="J21" s="3" t="s">
        <v>137</v>
      </c>
      <c r="K21" s="3" t="s">
        <v>138</v>
      </c>
      <c r="L21" s="3" t="s">
        <v>139</v>
      </c>
      <c r="M21" s="3" t="s">
        <v>140</v>
      </c>
      <c r="N21" s="3" t="s">
        <v>34</v>
      </c>
      <c r="O21" s="3" t="s">
        <v>35</v>
      </c>
      <c r="P21" s="3" t="s">
        <v>36</v>
      </c>
      <c r="Q21" s="5"/>
      <c r="R21" s="5"/>
      <c r="S21" s="5"/>
      <c r="T21" s="5"/>
      <c r="U21" s="6"/>
      <c r="V21" s="7" t="str">
        <f t="shared" si="0"/>
        <v/>
      </c>
      <c r="W21" s="5"/>
      <c r="X21" s="5"/>
      <c r="Y21" s="5"/>
    </row>
    <row r="22" spans="1:25" x14ac:dyDescent="0.3">
      <c r="A22" s="2" t="s">
        <v>25</v>
      </c>
      <c r="B22" s="3" t="s">
        <v>141</v>
      </c>
      <c r="C22" s="3" t="s">
        <v>65</v>
      </c>
      <c r="D22" s="3" t="s">
        <v>38</v>
      </c>
      <c r="E22" s="3" t="s">
        <v>39</v>
      </c>
      <c r="F22" s="4">
        <v>10500000000</v>
      </c>
      <c r="G22" s="4">
        <v>10500000000</v>
      </c>
      <c r="H22" s="3"/>
      <c r="I22" s="3"/>
      <c r="J22" s="3"/>
      <c r="K22" s="3" t="s">
        <v>142</v>
      </c>
      <c r="L22" s="3" t="s">
        <v>143</v>
      </c>
      <c r="M22" s="3" t="s">
        <v>144</v>
      </c>
      <c r="N22" s="3" t="s">
        <v>34</v>
      </c>
      <c r="O22" s="3" t="s">
        <v>35</v>
      </c>
      <c r="P22" s="3" t="s">
        <v>36</v>
      </c>
      <c r="Q22" s="5"/>
      <c r="R22" s="5"/>
      <c r="S22" s="5"/>
      <c r="T22" s="5"/>
      <c r="U22" s="6"/>
      <c r="V22" s="7" t="str">
        <f t="shared" si="0"/>
        <v/>
      </c>
      <c r="W22" s="5"/>
      <c r="X22" s="5"/>
      <c r="Y22" s="5" t="s">
        <v>145</v>
      </c>
    </row>
    <row r="23" spans="1:25" x14ac:dyDescent="0.3">
      <c r="A23" s="2" t="s">
        <v>25</v>
      </c>
      <c r="B23" s="3" t="s">
        <v>146</v>
      </c>
      <c r="C23" s="3" t="s">
        <v>147</v>
      </c>
      <c r="D23" s="3" t="s">
        <v>28</v>
      </c>
      <c r="E23" s="3" t="s">
        <v>29</v>
      </c>
      <c r="F23" s="4">
        <v>14444051180.15</v>
      </c>
      <c r="G23" s="4">
        <v>14444051180.15</v>
      </c>
      <c r="H23" s="8" t="s">
        <v>53</v>
      </c>
      <c r="I23" s="3" t="s">
        <v>148</v>
      </c>
      <c r="J23" s="3" t="s">
        <v>149</v>
      </c>
      <c r="K23" s="3" t="s">
        <v>150</v>
      </c>
      <c r="L23" s="3" t="s">
        <v>151</v>
      </c>
      <c r="M23" s="3" t="s">
        <v>152</v>
      </c>
      <c r="N23" s="3" t="s">
        <v>34</v>
      </c>
      <c r="O23" s="3" t="s">
        <v>35</v>
      </c>
      <c r="P23" s="3" t="s">
        <v>36</v>
      </c>
      <c r="Q23" s="5"/>
      <c r="R23" s="5"/>
      <c r="S23" s="5"/>
      <c r="T23" s="5"/>
      <c r="U23" s="6"/>
      <c r="V23" s="7" t="str">
        <f t="shared" si="0"/>
        <v/>
      </c>
      <c r="W23" s="5"/>
      <c r="X23" s="5"/>
      <c r="Y23" s="5"/>
    </row>
    <row r="24" spans="1:25" x14ac:dyDescent="0.3">
      <c r="A24" s="2" t="s">
        <v>153</v>
      </c>
      <c r="B24" s="3" t="s">
        <v>154</v>
      </c>
      <c r="C24" s="3" t="s">
        <v>155</v>
      </c>
      <c r="D24" s="3" t="s">
        <v>28</v>
      </c>
      <c r="E24" s="3" t="s">
        <v>29</v>
      </c>
      <c r="F24" s="4">
        <v>738491092.96000004</v>
      </c>
      <c r="G24" s="4">
        <v>738491092.96000004</v>
      </c>
      <c r="H24" s="8" t="s">
        <v>156</v>
      </c>
      <c r="I24" s="3"/>
      <c r="J24" s="3" t="s">
        <v>157</v>
      </c>
      <c r="K24" s="3" t="s">
        <v>158</v>
      </c>
      <c r="L24" s="3" t="s">
        <v>159</v>
      </c>
      <c r="M24" s="3" t="s">
        <v>160</v>
      </c>
      <c r="N24" s="3" t="s">
        <v>161</v>
      </c>
      <c r="O24" s="3" t="s">
        <v>162</v>
      </c>
      <c r="P24" s="3" t="s">
        <v>163</v>
      </c>
      <c r="Q24" s="5"/>
      <c r="R24" s="5"/>
      <c r="S24" s="5"/>
      <c r="T24" s="5"/>
      <c r="U24" s="6"/>
      <c r="V24" s="7" t="str">
        <f t="shared" si="0"/>
        <v/>
      </c>
      <c r="W24" s="5"/>
      <c r="X24" s="5"/>
      <c r="Y24" s="5"/>
    </row>
    <row r="25" spans="1:25" x14ac:dyDescent="0.3">
      <c r="A25" s="2" t="s">
        <v>164</v>
      </c>
      <c r="B25" s="3" t="s">
        <v>165</v>
      </c>
      <c r="C25" s="3" t="s">
        <v>166</v>
      </c>
      <c r="D25" s="3" t="s">
        <v>28</v>
      </c>
      <c r="E25" s="3" t="s">
        <v>29</v>
      </c>
      <c r="F25" s="4">
        <v>2690000000</v>
      </c>
      <c r="G25" s="4">
        <v>2690000000</v>
      </c>
      <c r="H25" s="3"/>
      <c r="I25" s="3"/>
      <c r="J25" s="3"/>
      <c r="K25" s="3" t="s">
        <v>167</v>
      </c>
      <c r="L25" s="3" t="s">
        <v>168</v>
      </c>
      <c r="M25" s="3" t="s">
        <v>169</v>
      </c>
      <c r="N25" s="3" t="s">
        <v>170</v>
      </c>
      <c r="O25" s="3" t="s">
        <v>171</v>
      </c>
      <c r="P25" s="3" t="s">
        <v>172</v>
      </c>
      <c r="Q25" s="5"/>
      <c r="R25" s="5"/>
      <c r="S25" s="5"/>
      <c r="T25" s="5"/>
      <c r="U25" s="6"/>
      <c r="V25" s="7" t="str">
        <f t="shared" si="0"/>
        <v/>
      </c>
      <c r="W25" s="5"/>
      <c r="X25" s="5"/>
      <c r="Y25" s="5" t="s">
        <v>173</v>
      </c>
    </row>
    <row r="26" spans="1:25" x14ac:dyDescent="0.3">
      <c r="A26" s="2" t="s">
        <v>174</v>
      </c>
      <c r="B26" s="3" t="s">
        <v>175</v>
      </c>
      <c r="C26" s="3" t="s">
        <v>176</v>
      </c>
      <c r="D26" s="3" t="s">
        <v>28</v>
      </c>
      <c r="E26" s="3" t="s">
        <v>29</v>
      </c>
      <c r="F26" s="4">
        <v>1215163.51</v>
      </c>
      <c r="G26" s="4">
        <v>1215163.51</v>
      </c>
      <c r="H26" s="8" t="s">
        <v>177</v>
      </c>
      <c r="I26" s="3" t="s">
        <v>148</v>
      </c>
      <c r="J26" s="3" t="s">
        <v>122</v>
      </c>
      <c r="K26" s="3" t="s">
        <v>178</v>
      </c>
      <c r="L26" s="3" t="s">
        <v>179</v>
      </c>
      <c r="M26" s="3" t="s">
        <v>180</v>
      </c>
      <c r="N26" s="3" t="s">
        <v>181</v>
      </c>
      <c r="O26" s="3" t="s">
        <v>182</v>
      </c>
      <c r="P26" s="3" t="s">
        <v>183</v>
      </c>
      <c r="Q26" s="5"/>
      <c r="R26" s="5"/>
      <c r="S26" s="5"/>
      <c r="T26" s="5"/>
      <c r="U26" s="6"/>
      <c r="V26" s="7" t="str">
        <f t="shared" si="0"/>
        <v/>
      </c>
      <c r="W26" s="5"/>
      <c r="X26" s="5"/>
      <c r="Y26" s="5"/>
    </row>
    <row r="27" spans="1:25" x14ac:dyDescent="0.3">
      <c r="A27" s="2" t="s">
        <v>174</v>
      </c>
      <c r="B27" s="3" t="s">
        <v>184</v>
      </c>
      <c r="C27" s="3" t="s">
        <v>176</v>
      </c>
      <c r="D27" s="3" t="s">
        <v>28</v>
      </c>
      <c r="E27" s="3" t="s">
        <v>29</v>
      </c>
      <c r="F27" s="4">
        <v>1289426.19</v>
      </c>
      <c r="G27" s="4">
        <v>1289426.19</v>
      </c>
      <c r="H27" s="3"/>
      <c r="I27" s="3"/>
      <c r="J27" s="3" t="s">
        <v>185</v>
      </c>
      <c r="K27" s="3" t="s">
        <v>186</v>
      </c>
      <c r="L27" s="3" t="s">
        <v>187</v>
      </c>
      <c r="M27" s="3" t="s">
        <v>188</v>
      </c>
      <c r="N27" s="3" t="s">
        <v>181</v>
      </c>
      <c r="O27" s="3" t="s">
        <v>182</v>
      </c>
      <c r="P27" s="3" t="s">
        <v>183</v>
      </c>
      <c r="Q27" s="5"/>
      <c r="R27" s="5"/>
      <c r="S27" s="5"/>
      <c r="T27" s="5"/>
      <c r="U27" s="6"/>
      <c r="V27" s="7" t="str">
        <f t="shared" si="0"/>
        <v/>
      </c>
      <c r="W27" s="5"/>
      <c r="X27" s="5"/>
      <c r="Y27" s="5"/>
    </row>
    <row r="28" spans="1:25" x14ac:dyDescent="0.3">
      <c r="A28" s="2" t="s">
        <v>174</v>
      </c>
      <c r="B28" s="3" t="s">
        <v>189</v>
      </c>
      <c r="C28" s="3" t="s">
        <v>176</v>
      </c>
      <c r="D28" s="3" t="s">
        <v>28</v>
      </c>
      <c r="E28" s="3" t="s">
        <v>190</v>
      </c>
      <c r="F28" s="4">
        <v>1309812.52</v>
      </c>
      <c r="G28" s="4">
        <v>1309812.52</v>
      </c>
      <c r="H28" s="8" t="s">
        <v>191</v>
      </c>
      <c r="I28" s="3"/>
      <c r="J28" s="3" t="s">
        <v>127</v>
      </c>
      <c r="K28" s="3" t="s">
        <v>192</v>
      </c>
      <c r="L28" s="3" t="s">
        <v>193</v>
      </c>
      <c r="M28" s="3" t="s">
        <v>194</v>
      </c>
      <c r="N28" s="3" t="s">
        <v>181</v>
      </c>
      <c r="O28" s="3" t="s">
        <v>182</v>
      </c>
      <c r="P28" s="3" t="s">
        <v>183</v>
      </c>
      <c r="Q28" s="5"/>
      <c r="R28" s="5"/>
      <c r="S28" s="5"/>
      <c r="T28" s="5"/>
      <c r="U28" s="6"/>
      <c r="V28" s="7" t="str">
        <f t="shared" si="0"/>
        <v/>
      </c>
      <c r="W28" s="5"/>
      <c r="X28" s="5"/>
      <c r="Y28" s="5"/>
    </row>
    <row r="29" spans="1:25" x14ac:dyDescent="0.3">
      <c r="A29" s="2" t="s">
        <v>174</v>
      </c>
      <c r="B29" s="3" t="s">
        <v>195</v>
      </c>
      <c r="C29" s="3" t="s">
        <v>176</v>
      </c>
      <c r="D29" s="3" t="s">
        <v>28</v>
      </c>
      <c r="E29" s="3" t="s">
        <v>29</v>
      </c>
      <c r="F29" s="4">
        <v>1630706.61</v>
      </c>
      <c r="G29" s="4">
        <v>1630706.61</v>
      </c>
      <c r="H29" s="8" t="s">
        <v>196</v>
      </c>
      <c r="I29" s="3"/>
      <c r="J29" s="3" t="s">
        <v>197</v>
      </c>
      <c r="K29" s="3" t="s">
        <v>198</v>
      </c>
      <c r="L29" s="3" t="s">
        <v>199</v>
      </c>
      <c r="M29" s="3" t="s">
        <v>200</v>
      </c>
      <c r="N29" s="3" t="s">
        <v>181</v>
      </c>
      <c r="O29" s="3" t="s">
        <v>182</v>
      </c>
      <c r="P29" s="3" t="s">
        <v>183</v>
      </c>
      <c r="Q29" s="5"/>
      <c r="R29" s="5"/>
      <c r="S29" s="5"/>
      <c r="T29" s="5"/>
      <c r="U29" s="6"/>
      <c r="V29" s="7" t="str">
        <f t="shared" si="0"/>
        <v/>
      </c>
      <c r="W29" s="5"/>
      <c r="X29" s="5"/>
      <c r="Y29" s="5"/>
    </row>
    <row r="30" spans="1:25" x14ac:dyDescent="0.3">
      <c r="A30" s="2" t="s">
        <v>174</v>
      </c>
      <c r="B30" s="3" t="s">
        <v>201</v>
      </c>
      <c r="C30" s="3" t="s">
        <v>176</v>
      </c>
      <c r="D30" s="3" t="s">
        <v>28</v>
      </c>
      <c r="E30" s="3" t="s">
        <v>29</v>
      </c>
      <c r="F30" s="4">
        <v>2178618.7799999998</v>
      </c>
      <c r="G30" s="4">
        <v>2178618.7799999998</v>
      </c>
      <c r="H30" s="8" t="s">
        <v>202</v>
      </c>
      <c r="I30" s="3"/>
      <c r="J30" s="3" t="s">
        <v>203</v>
      </c>
      <c r="K30" s="3" t="s">
        <v>204</v>
      </c>
      <c r="L30" s="3" t="s">
        <v>205</v>
      </c>
      <c r="M30" s="3"/>
      <c r="N30" s="3" t="s">
        <v>181</v>
      </c>
      <c r="O30" s="3" t="s">
        <v>182</v>
      </c>
      <c r="P30" s="3" t="s">
        <v>183</v>
      </c>
      <c r="Q30" s="5"/>
      <c r="R30" s="5"/>
      <c r="S30" s="5"/>
      <c r="T30" s="5"/>
      <c r="U30" s="6"/>
      <c r="V30" s="7" t="str">
        <f t="shared" si="0"/>
        <v/>
      </c>
      <c r="W30" s="5"/>
      <c r="X30" s="5"/>
      <c r="Y30" s="5"/>
    </row>
    <row r="31" spans="1:25" x14ac:dyDescent="0.3">
      <c r="A31" s="2" t="s">
        <v>174</v>
      </c>
      <c r="B31" s="3" t="s">
        <v>206</v>
      </c>
      <c r="C31" s="3" t="s">
        <v>176</v>
      </c>
      <c r="D31" s="3" t="s">
        <v>38</v>
      </c>
      <c r="E31" s="3" t="s">
        <v>39</v>
      </c>
      <c r="F31" s="4">
        <v>2648255.0299999998</v>
      </c>
      <c r="G31" s="4">
        <v>2648255.0299999998</v>
      </c>
      <c r="H31" s="3"/>
      <c r="I31" s="3"/>
      <c r="J31" s="3" t="s">
        <v>203</v>
      </c>
      <c r="K31" s="3" t="s">
        <v>207</v>
      </c>
      <c r="L31" s="3" t="s">
        <v>208</v>
      </c>
      <c r="M31" s="3" t="s">
        <v>209</v>
      </c>
      <c r="N31" s="3" t="s">
        <v>181</v>
      </c>
      <c r="O31" s="3" t="s">
        <v>182</v>
      </c>
      <c r="P31" s="3" t="s">
        <v>183</v>
      </c>
      <c r="Q31" s="5"/>
      <c r="R31" s="5"/>
      <c r="S31" s="5"/>
      <c r="T31" s="5"/>
      <c r="U31" s="6"/>
      <c r="V31" s="7" t="str">
        <f t="shared" si="0"/>
        <v/>
      </c>
      <c r="W31" s="5"/>
      <c r="X31" s="5"/>
      <c r="Y31" s="5"/>
    </row>
    <row r="32" spans="1:25" x14ac:dyDescent="0.3">
      <c r="A32" s="2" t="s">
        <v>174</v>
      </c>
      <c r="B32" s="3" t="s">
        <v>210</v>
      </c>
      <c r="C32" s="3" t="s">
        <v>176</v>
      </c>
      <c r="D32" s="3" t="s">
        <v>28</v>
      </c>
      <c r="E32" s="3" t="s">
        <v>29</v>
      </c>
      <c r="F32" s="4">
        <v>3419110.2</v>
      </c>
      <c r="G32" s="4">
        <v>3419110.2</v>
      </c>
      <c r="H32" s="8" t="s">
        <v>211</v>
      </c>
      <c r="I32" s="3" t="s">
        <v>148</v>
      </c>
      <c r="J32" s="3" t="s">
        <v>212</v>
      </c>
      <c r="K32" s="3" t="s">
        <v>213</v>
      </c>
      <c r="L32" s="3" t="s">
        <v>214</v>
      </c>
      <c r="M32" s="3" t="s">
        <v>215</v>
      </c>
      <c r="N32" s="3" t="s">
        <v>181</v>
      </c>
      <c r="O32" s="3" t="s">
        <v>182</v>
      </c>
      <c r="P32" s="3" t="s">
        <v>183</v>
      </c>
      <c r="Q32" s="5"/>
      <c r="R32" s="5"/>
      <c r="S32" s="5"/>
      <c r="T32" s="5"/>
      <c r="U32" s="6"/>
      <c r="V32" s="7" t="str">
        <f t="shared" si="0"/>
        <v/>
      </c>
      <c r="W32" s="5"/>
      <c r="X32" s="5"/>
      <c r="Y32" s="5"/>
    </row>
    <row r="33" spans="1:25" x14ac:dyDescent="0.3">
      <c r="A33" s="2" t="s">
        <v>174</v>
      </c>
      <c r="B33" s="3" t="s">
        <v>216</v>
      </c>
      <c r="C33" s="3" t="s">
        <v>176</v>
      </c>
      <c r="D33" s="3" t="s">
        <v>28</v>
      </c>
      <c r="E33" s="3" t="s">
        <v>29</v>
      </c>
      <c r="F33" s="4">
        <v>4667736.5599999996</v>
      </c>
      <c r="G33" s="4">
        <v>4667736.5599999996</v>
      </c>
      <c r="H33" s="8" t="s">
        <v>217</v>
      </c>
      <c r="I33" s="3"/>
      <c r="J33" s="3" t="s">
        <v>218</v>
      </c>
      <c r="K33" s="3" t="s">
        <v>219</v>
      </c>
      <c r="L33" s="3" t="s">
        <v>220</v>
      </c>
      <c r="M33" s="3" t="s">
        <v>221</v>
      </c>
      <c r="N33" s="3" t="s">
        <v>181</v>
      </c>
      <c r="O33" s="3" t="s">
        <v>182</v>
      </c>
      <c r="P33" s="3" t="s">
        <v>183</v>
      </c>
      <c r="Q33" s="5"/>
      <c r="R33" s="5"/>
      <c r="S33" s="5"/>
      <c r="T33" s="5"/>
      <c r="U33" s="6"/>
      <c r="V33" s="7" t="str">
        <f t="shared" si="0"/>
        <v/>
      </c>
      <c r="W33" s="5"/>
      <c r="X33" s="5"/>
      <c r="Y33" s="5"/>
    </row>
    <row r="34" spans="1:25" x14ac:dyDescent="0.3">
      <c r="A34" s="2" t="s">
        <v>174</v>
      </c>
      <c r="B34" s="3" t="s">
        <v>222</v>
      </c>
      <c r="C34" s="3" t="s">
        <v>176</v>
      </c>
      <c r="D34" s="3" t="s">
        <v>28</v>
      </c>
      <c r="E34" s="3" t="s">
        <v>29</v>
      </c>
      <c r="F34" s="4">
        <v>4994418.17</v>
      </c>
      <c r="G34" s="4">
        <v>4994418.17</v>
      </c>
      <c r="H34" s="3"/>
      <c r="I34" s="3"/>
      <c r="J34" s="3" t="s">
        <v>223</v>
      </c>
      <c r="K34" s="3" t="s">
        <v>224</v>
      </c>
      <c r="L34" s="3" t="s">
        <v>225</v>
      </c>
      <c r="M34" s="3" t="s">
        <v>226</v>
      </c>
      <c r="N34" s="3" t="s">
        <v>181</v>
      </c>
      <c r="O34" s="3" t="s">
        <v>182</v>
      </c>
      <c r="P34" s="3" t="s">
        <v>183</v>
      </c>
      <c r="Q34" s="5"/>
      <c r="R34" s="5"/>
      <c r="S34" s="5"/>
      <c r="T34" s="5"/>
      <c r="U34" s="6"/>
      <c r="V34" s="7" t="str">
        <f t="shared" ref="V34:V65" si="1">IF(U34="","",WORKDAY(U34,5))</f>
        <v/>
      </c>
      <c r="W34" s="5"/>
      <c r="X34" s="5"/>
      <c r="Y34" s="5"/>
    </row>
    <row r="35" spans="1:25" x14ac:dyDescent="0.3">
      <c r="A35" s="2" t="s">
        <v>174</v>
      </c>
      <c r="B35" s="3" t="s">
        <v>227</v>
      </c>
      <c r="C35" s="3" t="s">
        <v>176</v>
      </c>
      <c r="D35" s="3" t="s">
        <v>28</v>
      </c>
      <c r="E35" s="3" t="s">
        <v>29</v>
      </c>
      <c r="F35" s="4">
        <v>5485614.21</v>
      </c>
      <c r="G35" s="4">
        <v>5485614.21</v>
      </c>
      <c r="H35" s="8" t="s">
        <v>228</v>
      </c>
      <c r="I35" s="3" t="s">
        <v>148</v>
      </c>
      <c r="J35" s="3" t="s">
        <v>122</v>
      </c>
      <c r="K35" s="3" t="s">
        <v>229</v>
      </c>
      <c r="L35" s="3" t="s">
        <v>230</v>
      </c>
      <c r="M35" s="3" t="s">
        <v>231</v>
      </c>
      <c r="N35" s="3" t="s">
        <v>181</v>
      </c>
      <c r="O35" s="3" t="s">
        <v>182</v>
      </c>
      <c r="P35" s="3" t="s">
        <v>183</v>
      </c>
      <c r="Q35" s="5"/>
      <c r="R35" s="5"/>
      <c r="S35" s="5"/>
      <c r="T35" s="5"/>
      <c r="U35" s="6"/>
      <c r="V35" s="7" t="str">
        <f t="shared" si="1"/>
        <v/>
      </c>
      <c r="W35" s="5"/>
      <c r="X35" s="5"/>
      <c r="Y35" s="5"/>
    </row>
    <row r="36" spans="1:25" x14ac:dyDescent="0.3">
      <c r="A36" s="2" t="s">
        <v>174</v>
      </c>
      <c r="B36" s="3" t="s">
        <v>232</v>
      </c>
      <c r="C36" s="3" t="s">
        <v>176</v>
      </c>
      <c r="D36" s="3" t="s">
        <v>28</v>
      </c>
      <c r="E36" s="3" t="s">
        <v>29</v>
      </c>
      <c r="F36" s="4">
        <v>5769058.7400000002</v>
      </c>
      <c r="G36" s="4">
        <v>5769058.7400000002</v>
      </c>
      <c r="H36" s="8" t="s">
        <v>233</v>
      </c>
      <c r="I36" s="3"/>
      <c r="J36" s="3" t="s">
        <v>234</v>
      </c>
      <c r="K36" s="3" t="s">
        <v>235</v>
      </c>
      <c r="L36" s="3" t="s">
        <v>236</v>
      </c>
      <c r="M36" s="3"/>
      <c r="N36" s="3" t="s">
        <v>181</v>
      </c>
      <c r="O36" s="3" t="s">
        <v>182</v>
      </c>
      <c r="P36" s="3" t="s">
        <v>183</v>
      </c>
      <c r="Q36" s="5"/>
      <c r="R36" s="5"/>
      <c r="S36" s="5"/>
      <c r="T36" s="5"/>
      <c r="U36" s="6"/>
      <c r="V36" s="7" t="str">
        <f t="shared" si="1"/>
        <v/>
      </c>
      <c r="W36" s="5"/>
      <c r="X36" s="5"/>
      <c r="Y36" s="5"/>
    </row>
    <row r="37" spans="1:25" x14ac:dyDescent="0.3">
      <c r="A37" s="2" t="s">
        <v>174</v>
      </c>
      <c r="B37" s="3" t="s">
        <v>237</v>
      </c>
      <c r="C37" s="3" t="s">
        <v>176</v>
      </c>
      <c r="D37" s="3" t="s">
        <v>28</v>
      </c>
      <c r="E37" s="3" t="s">
        <v>29</v>
      </c>
      <c r="F37" s="4">
        <v>6242771.9100000001</v>
      </c>
      <c r="G37" s="4">
        <v>6242771.9100000001</v>
      </c>
      <c r="H37" s="8" t="s">
        <v>191</v>
      </c>
      <c r="I37" s="3"/>
      <c r="J37" s="3" t="s">
        <v>197</v>
      </c>
      <c r="K37" s="3" t="s">
        <v>238</v>
      </c>
      <c r="L37" s="3" t="s">
        <v>239</v>
      </c>
      <c r="M37" s="3" t="s">
        <v>240</v>
      </c>
      <c r="N37" s="3" t="s">
        <v>181</v>
      </c>
      <c r="O37" s="3" t="s">
        <v>182</v>
      </c>
      <c r="P37" s="3" t="s">
        <v>183</v>
      </c>
      <c r="Q37" s="5"/>
      <c r="R37" s="5"/>
      <c r="S37" s="5"/>
      <c r="T37" s="5"/>
      <c r="U37" s="6"/>
      <c r="V37" s="7" t="str">
        <f t="shared" si="1"/>
        <v/>
      </c>
      <c r="W37" s="5"/>
      <c r="X37" s="5"/>
      <c r="Y37" s="5"/>
    </row>
    <row r="38" spans="1:25" x14ac:dyDescent="0.3">
      <c r="A38" s="2" t="s">
        <v>174</v>
      </c>
      <c r="B38" s="3" t="s">
        <v>241</v>
      </c>
      <c r="C38" s="3" t="s">
        <v>176</v>
      </c>
      <c r="D38" s="3" t="s">
        <v>28</v>
      </c>
      <c r="E38" s="3" t="s">
        <v>29</v>
      </c>
      <c r="F38" s="4">
        <v>8821711.3900000006</v>
      </c>
      <c r="G38" s="4">
        <v>8821711.3900000006</v>
      </c>
      <c r="H38" s="8" t="s">
        <v>242</v>
      </c>
      <c r="I38" s="3" t="s">
        <v>148</v>
      </c>
      <c r="J38" s="3" t="s">
        <v>243</v>
      </c>
      <c r="K38" s="3" t="s">
        <v>244</v>
      </c>
      <c r="L38" s="3" t="s">
        <v>245</v>
      </c>
      <c r="M38" s="3" t="s">
        <v>246</v>
      </c>
      <c r="N38" s="3" t="s">
        <v>181</v>
      </c>
      <c r="O38" s="3" t="s">
        <v>182</v>
      </c>
      <c r="P38" s="3" t="s">
        <v>183</v>
      </c>
      <c r="Q38" s="5"/>
      <c r="R38" s="5"/>
      <c r="S38" s="5"/>
      <c r="T38" s="5"/>
      <c r="U38" s="6"/>
      <c r="V38" s="7" t="str">
        <f t="shared" si="1"/>
        <v/>
      </c>
      <c r="W38" s="5"/>
      <c r="X38" s="5"/>
      <c r="Y38" s="5"/>
    </row>
    <row r="39" spans="1:25" x14ac:dyDescent="0.3">
      <c r="A39" s="2" t="s">
        <v>174</v>
      </c>
      <c r="B39" s="3" t="s">
        <v>247</v>
      </c>
      <c r="C39" s="3" t="s">
        <v>176</v>
      </c>
      <c r="D39" s="3" t="s">
        <v>44</v>
      </c>
      <c r="E39" s="3" t="s">
        <v>45</v>
      </c>
      <c r="F39" s="4">
        <v>10136090.16</v>
      </c>
      <c r="G39" s="4">
        <v>10136090.16</v>
      </c>
      <c r="H39" s="3"/>
      <c r="I39" s="3"/>
      <c r="J39" s="3" t="s">
        <v>122</v>
      </c>
      <c r="K39" s="3" t="s">
        <v>248</v>
      </c>
      <c r="L39" s="3" t="s">
        <v>249</v>
      </c>
      <c r="M39" s="3" t="s">
        <v>250</v>
      </c>
      <c r="N39" s="3" t="s">
        <v>181</v>
      </c>
      <c r="O39" s="3" t="s">
        <v>182</v>
      </c>
      <c r="P39" s="3" t="s">
        <v>183</v>
      </c>
      <c r="Q39" s="5"/>
      <c r="R39" s="5"/>
      <c r="S39" s="5"/>
      <c r="T39" s="5"/>
      <c r="U39" s="6"/>
      <c r="V39" s="7" t="str">
        <f t="shared" si="1"/>
        <v/>
      </c>
      <c r="W39" s="5"/>
      <c r="X39" s="5"/>
      <c r="Y39" s="5"/>
    </row>
    <row r="40" spans="1:25" x14ac:dyDescent="0.3">
      <c r="A40" s="2" t="s">
        <v>174</v>
      </c>
      <c r="B40" s="3" t="s">
        <v>251</v>
      </c>
      <c r="C40" s="3" t="s">
        <v>176</v>
      </c>
      <c r="D40" s="3" t="s">
        <v>28</v>
      </c>
      <c r="E40" s="3" t="s">
        <v>29</v>
      </c>
      <c r="F40" s="4">
        <v>14112603.52</v>
      </c>
      <c r="G40" s="4">
        <v>14112603.52</v>
      </c>
      <c r="H40" s="3"/>
      <c r="I40" s="3"/>
      <c r="J40" s="3" t="s">
        <v>252</v>
      </c>
      <c r="K40" s="3" t="s">
        <v>253</v>
      </c>
      <c r="L40" s="3" t="s">
        <v>254</v>
      </c>
      <c r="M40" s="3" t="s">
        <v>255</v>
      </c>
      <c r="N40" s="3" t="s">
        <v>181</v>
      </c>
      <c r="O40" s="3" t="s">
        <v>182</v>
      </c>
      <c r="P40" s="3" t="s">
        <v>183</v>
      </c>
      <c r="Q40" s="5"/>
      <c r="R40" s="5"/>
      <c r="S40" s="5"/>
      <c r="T40" s="5"/>
      <c r="U40" s="6"/>
      <c r="V40" s="7" t="str">
        <f t="shared" si="1"/>
        <v/>
      </c>
      <c r="W40" s="5"/>
      <c r="X40" s="5"/>
      <c r="Y40" s="5"/>
    </row>
    <row r="41" spans="1:25" x14ac:dyDescent="0.3">
      <c r="A41" s="2" t="s">
        <v>174</v>
      </c>
      <c r="B41" s="3" t="s">
        <v>256</v>
      </c>
      <c r="C41" s="3" t="s">
        <v>176</v>
      </c>
      <c r="D41" s="3" t="s">
        <v>28</v>
      </c>
      <c r="E41" s="3" t="s">
        <v>29</v>
      </c>
      <c r="F41" s="4">
        <v>18445353.539999999</v>
      </c>
      <c r="G41" s="4">
        <v>18445353.539999999</v>
      </c>
      <c r="H41" s="8" t="s">
        <v>257</v>
      </c>
      <c r="I41" s="3"/>
      <c r="J41" s="3" t="s">
        <v>258</v>
      </c>
      <c r="K41" s="3" t="s">
        <v>259</v>
      </c>
      <c r="L41" s="3" t="s">
        <v>260</v>
      </c>
      <c r="M41" s="3" t="s">
        <v>261</v>
      </c>
      <c r="N41" s="3" t="s">
        <v>181</v>
      </c>
      <c r="O41" s="3" t="s">
        <v>182</v>
      </c>
      <c r="P41" s="3" t="s">
        <v>183</v>
      </c>
      <c r="Q41" s="5"/>
      <c r="R41" s="5"/>
      <c r="S41" s="5"/>
      <c r="T41" s="5"/>
      <c r="U41" s="6"/>
      <c r="V41" s="7" t="str">
        <f t="shared" si="1"/>
        <v/>
      </c>
      <c r="W41" s="5"/>
      <c r="X41" s="5"/>
      <c r="Y41" s="5"/>
    </row>
    <row r="42" spans="1:25" x14ac:dyDescent="0.3">
      <c r="A42" s="2" t="s">
        <v>174</v>
      </c>
      <c r="B42" s="3" t="s">
        <v>262</v>
      </c>
      <c r="C42" s="3" t="s">
        <v>176</v>
      </c>
      <c r="D42" s="3" t="s">
        <v>28</v>
      </c>
      <c r="E42" s="3" t="s">
        <v>29</v>
      </c>
      <c r="F42" s="4">
        <v>18793036.77</v>
      </c>
      <c r="G42" s="4">
        <v>18793036.77</v>
      </c>
      <c r="H42" s="8" t="s">
        <v>263</v>
      </c>
      <c r="I42" s="3"/>
      <c r="J42" s="3" t="s">
        <v>197</v>
      </c>
      <c r="K42" s="3" t="s">
        <v>264</v>
      </c>
      <c r="L42" s="3" t="s">
        <v>265</v>
      </c>
      <c r="M42" s="3" t="s">
        <v>266</v>
      </c>
      <c r="N42" s="3" t="s">
        <v>181</v>
      </c>
      <c r="O42" s="3" t="s">
        <v>182</v>
      </c>
      <c r="P42" s="3" t="s">
        <v>183</v>
      </c>
      <c r="Q42" s="5"/>
      <c r="R42" s="5"/>
      <c r="S42" s="5"/>
      <c r="T42" s="5"/>
      <c r="U42" s="6"/>
      <c r="V42" s="7" t="str">
        <f t="shared" si="1"/>
        <v/>
      </c>
      <c r="W42" s="5"/>
      <c r="X42" s="5"/>
      <c r="Y42" s="5"/>
    </row>
    <row r="43" spans="1:25" x14ac:dyDescent="0.3">
      <c r="A43" s="2" t="s">
        <v>174</v>
      </c>
      <c r="B43" s="3" t="s">
        <v>267</v>
      </c>
      <c r="C43" s="3" t="s">
        <v>176</v>
      </c>
      <c r="D43" s="3" t="s">
        <v>38</v>
      </c>
      <c r="E43" s="3" t="s">
        <v>39</v>
      </c>
      <c r="F43" s="4">
        <v>38225121.469999999</v>
      </c>
      <c r="G43" s="4">
        <v>38225121.469999999</v>
      </c>
      <c r="H43" s="8" t="s">
        <v>263</v>
      </c>
      <c r="I43" s="3"/>
      <c r="J43" s="3" t="s">
        <v>212</v>
      </c>
      <c r="K43" s="3" t="s">
        <v>268</v>
      </c>
      <c r="L43" s="3" t="s">
        <v>269</v>
      </c>
      <c r="M43" s="3" t="s">
        <v>270</v>
      </c>
      <c r="N43" s="3" t="s">
        <v>181</v>
      </c>
      <c r="O43" s="3" t="s">
        <v>182</v>
      </c>
      <c r="P43" s="3" t="s">
        <v>183</v>
      </c>
      <c r="Q43" s="5"/>
      <c r="R43" s="5"/>
      <c r="S43" s="5"/>
      <c r="T43" s="5"/>
      <c r="U43" s="6"/>
      <c r="V43" s="7" t="str">
        <f t="shared" si="1"/>
        <v/>
      </c>
      <c r="W43" s="5"/>
      <c r="X43" s="5"/>
      <c r="Y43" s="5"/>
    </row>
    <row r="44" spans="1:25" x14ac:dyDescent="0.3">
      <c r="A44" s="2" t="s">
        <v>174</v>
      </c>
      <c r="B44" s="3" t="s">
        <v>271</v>
      </c>
      <c r="C44" s="3" t="s">
        <v>176</v>
      </c>
      <c r="D44" s="3" t="s">
        <v>51</v>
      </c>
      <c r="E44" s="3" t="s">
        <v>52</v>
      </c>
      <c r="F44" s="4">
        <v>38552343.240000002</v>
      </c>
      <c r="G44" s="4">
        <v>38552343.240000002</v>
      </c>
      <c r="H44" s="3"/>
      <c r="I44" s="3"/>
      <c r="J44" s="3" t="s">
        <v>203</v>
      </c>
      <c r="K44" s="3"/>
      <c r="L44" s="3" t="s">
        <v>272</v>
      </c>
      <c r="M44" s="3"/>
      <c r="N44" s="3" t="s">
        <v>181</v>
      </c>
      <c r="O44" s="3" t="s">
        <v>182</v>
      </c>
      <c r="P44" s="3" t="s">
        <v>183</v>
      </c>
      <c r="Q44" s="5"/>
      <c r="R44" s="5"/>
      <c r="S44" s="5"/>
      <c r="T44" s="5"/>
      <c r="U44" s="6"/>
      <c r="V44" s="7" t="str">
        <f t="shared" si="1"/>
        <v/>
      </c>
      <c r="W44" s="5"/>
      <c r="X44" s="5"/>
      <c r="Y44" s="5"/>
    </row>
    <row r="45" spans="1:25" x14ac:dyDescent="0.3">
      <c r="A45" s="2" t="s">
        <v>174</v>
      </c>
      <c r="B45" s="3" t="s">
        <v>273</v>
      </c>
      <c r="C45" s="3" t="s">
        <v>176</v>
      </c>
      <c r="D45" s="3" t="s">
        <v>28</v>
      </c>
      <c r="E45" s="3" t="s">
        <v>29</v>
      </c>
      <c r="F45" s="4">
        <v>39751072.259999998</v>
      </c>
      <c r="G45" s="4">
        <v>39751072.259999998</v>
      </c>
      <c r="H45" s="8" t="s">
        <v>274</v>
      </c>
      <c r="I45" s="3"/>
      <c r="J45" s="3" t="s">
        <v>212</v>
      </c>
      <c r="K45" s="3" t="s">
        <v>275</v>
      </c>
      <c r="L45" s="3" t="s">
        <v>276</v>
      </c>
      <c r="M45" s="3"/>
      <c r="N45" s="3" t="s">
        <v>181</v>
      </c>
      <c r="O45" s="3" t="s">
        <v>182</v>
      </c>
      <c r="P45" s="3" t="s">
        <v>183</v>
      </c>
      <c r="Q45" s="5"/>
      <c r="R45" s="5"/>
      <c r="S45" s="5"/>
      <c r="T45" s="5"/>
      <c r="U45" s="6"/>
      <c r="V45" s="7" t="str">
        <f t="shared" si="1"/>
        <v/>
      </c>
      <c r="W45" s="5"/>
      <c r="X45" s="5"/>
      <c r="Y45" s="5"/>
    </row>
    <row r="46" spans="1:25" x14ac:dyDescent="0.3">
      <c r="A46" s="2" t="s">
        <v>174</v>
      </c>
      <c r="B46" s="3" t="s">
        <v>277</v>
      </c>
      <c r="C46" s="3" t="s">
        <v>176</v>
      </c>
      <c r="D46" s="3" t="s">
        <v>28</v>
      </c>
      <c r="E46" s="3" t="s">
        <v>29</v>
      </c>
      <c r="F46" s="4">
        <v>68780934.480000004</v>
      </c>
      <c r="G46" s="4">
        <v>68780934.480000004</v>
      </c>
      <c r="H46" s="8" t="s">
        <v>278</v>
      </c>
      <c r="I46" s="3" t="s">
        <v>148</v>
      </c>
      <c r="J46" s="3" t="s">
        <v>212</v>
      </c>
      <c r="K46" s="3" t="s">
        <v>279</v>
      </c>
      <c r="L46" s="3" t="s">
        <v>280</v>
      </c>
      <c r="M46" s="3" t="s">
        <v>281</v>
      </c>
      <c r="N46" s="3" t="s">
        <v>181</v>
      </c>
      <c r="O46" s="3" t="s">
        <v>182</v>
      </c>
      <c r="P46" s="3" t="s">
        <v>183</v>
      </c>
      <c r="Q46" s="5"/>
      <c r="R46" s="5"/>
      <c r="S46" s="5"/>
      <c r="T46" s="5"/>
      <c r="U46" s="6"/>
      <c r="V46" s="7" t="str">
        <f t="shared" si="1"/>
        <v/>
      </c>
      <c r="W46" s="5"/>
      <c r="X46" s="5"/>
      <c r="Y46" s="5"/>
    </row>
    <row r="47" spans="1:25" x14ac:dyDescent="0.3">
      <c r="A47" s="2" t="s">
        <v>174</v>
      </c>
      <c r="B47" s="3" t="s">
        <v>282</v>
      </c>
      <c r="C47" s="3" t="s">
        <v>176</v>
      </c>
      <c r="D47" s="3" t="s">
        <v>28</v>
      </c>
      <c r="E47" s="3" t="s">
        <v>29</v>
      </c>
      <c r="F47" s="4">
        <v>130630387.14</v>
      </c>
      <c r="G47" s="4">
        <v>130630387.14</v>
      </c>
      <c r="H47" s="8" t="s">
        <v>283</v>
      </c>
      <c r="I47" s="3" t="s">
        <v>148</v>
      </c>
      <c r="J47" s="3" t="s">
        <v>284</v>
      </c>
      <c r="K47" s="3" t="s">
        <v>285</v>
      </c>
      <c r="L47" s="3" t="s">
        <v>286</v>
      </c>
      <c r="M47" s="3" t="s">
        <v>287</v>
      </c>
      <c r="N47" s="3" t="s">
        <v>181</v>
      </c>
      <c r="O47" s="3" t="s">
        <v>182</v>
      </c>
      <c r="P47" s="3" t="s">
        <v>183</v>
      </c>
      <c r="Q47" s="5"/>
      <c r="R47" s="5"/>
      <c r="S47" s="5"/>
      <c r="T47" s="5"/>
      <c r="U47" s="6"/>
      <c r="V47" s="7" t="str">
        <f t="shared" si="1"/>
        <v/>
      </c>
      <c r="W47" s="5"/>
      <c r="X47" s="5"/>
      <c r="Y47" s="5"/>
    </row>
    <row r="48" spans="1:25" x14ac:dyDescent="0.3">
      <c r="A48" s="2" t="s">
        <v>174</v>
      </c>
      <c r="B48" s="3" t="s">
        <v>288</v>
      </c>
      <c r="C48" s="3" t="s">
        <v>176</v>
      </c>
      <c r="D48" s="3" t="s">
        <v>44</v>
      </c>
      <c r="E48" s="3" t="s">
        <v>45</v>
      </c>
      <c r="F48" s="4">
        <v>210638516.78</v>
      </c>
      <c r="G48" s="4">
        <v>210638516.78</v>
      </c>
      <c r="H48" s="8" t="s">
        <v>289</v>
      </c>
      <c r="I48" s="3" t="s">
        <v>148</v>
      </c>
      <c r="J48" s="3" t="s">
        <v>290</v>
      </c>
      <c r="K48" s="3" t="s">
        <v>291</v>
      </c>
      <c r="L48" s="3" t="s">
        <v>292</v>
      </c>
      <c r="M48" s="3" t="s">
        <v>293</v>
      </c>
      <c r="N48" s="3" t="s">
        <v>181</v>
      </c>
      <c r="O48" s="3" t="s">
        <v>182</v>
      </c>
      <c r="P48" s="3" t="s">
        <v>183</v>
      </c>
      <c r="Q48" s="5"/>
      <c r="R48" s="5"/>
      <c r="S48" s="5"/>
      <c r="T48" s="5"/>
      <c r="U48" s="6"/>
      <c r="V48" s="7" t="str">
        <f t="shared" si="1"/>
        <v/>
      </c>
      <c r="W48" s="5"/>
      <c r="X48" s="5"/>
      <c r="Y48" s="5"/>
    </row>
    <row r="49" spans="1:25" x14ac:dyDescent="0.3">
      <c r="A49" s="2" t="s">
        <v>174</v>
      </c>
      <c r="B49" s="3" t="s">
        <v>294</v>
      </c>
      <c r="C49" s="3" t="s">
        <v>176</v>
      </c>
      <c r="D49" s="3" t="s">
        <v>28</v>
      </c>
      <c r="E49" s="3" t="s">
        <v>29</v>
      </c>
      <c r="F49" s="4">
        <v>271274188.06</v>
      </c>
      <c r="G49" s="4">
        <v>271274188.06</v>
      </c>
      <c r="H49" s="3"/>
      <c r="I49" s="3"/>
      <c r="J49" s="3" t="s">
        <v>98</v>
      </c>
      <c r="K49" s="3" t="s">
        <v>295</v>
      </c>
      <c r="L49" s="3" t="s">
        <v>296</v>
      </c>
      <c r="M49" s="3" t="s">
        <v>297</v>
      </c>
      <c r="N49" s="3" t="s">
        <v>181</v>
      </c>
      <c r="O49" s="3" t="s">
        <v>182</v>
      </c>
      <c r="P49" s="3" t="s">
        <v>183</v>
      </c>
      <c r="Q49" s="5"/>
      <c r="R49" s="5"/>
      <c r="S49" s="5"/>
      <c r="T49" s="5"/>
      <c r="U49" s="6"/>
      <c r="V49" s="7" t="str">
        <f t="shared" si="1"/>
        <v/>
      </c>
      <c r="W49" s="5"/>
      <c r="X49" s="5"/>
      <c r="Y49" s="5"/>
    </row>
    <row r="50" spans="1:25" x14ac:dyDescent="0.3">
      <c r="A50" s="2" t="s">
        <v>174</v>
      </c>
      <c r="B50" s="3" t="s">
        <v>298</v>
      </c>
      <c r="C50" s="3" t="s">
        <v>176</v>
      </c>
      <c r="D50" s="3" t="s">
        <v>28</v>
      </c>
      <c r="E50" s="3" t="s">
        <v>29</v>
      </c>
      <c r="F50" s="4">
        <v>1796943388.55</v>
      </c>
      <c r="G50" s="4">
        <v>1796943388.55</v>
      </c>
      <c r="H50" s="8" t="s">
        <v>299</v>
      </c>
      <c r="I50" s="3" t="s">
        <v>148</v>
      </c>
      <c r="J50" s="3" t="s">
        <v>122</v>
      </c>
      <c r="K50" s="3" t="s">
        <v>300</v>
      </c>
      <c r="L50" s="3" t="s">
        <v>301</v>
      </c>
      <c r="M50" s="3" t="s">
        <v>302</v>
      </c>
      <c r="N50" s="3" t="s">
        <v>181</v>
      </c>
      <c r="O50" s="3" t="s">
        <v>182</v>
      </c>
      <c r="P50" s="3" t="s">
        <v>183</v>
      </c>
      <c r="Q50" s="5"/>
      <c r="R50" s="5"/>
      <c r="S50" s="5"/>
      <c r="T50" s="5"/>
      <c r="U50" s="6"/>
      <c r="V50" s="7" t="str">
        <f t="shared" si="1"/>
        <v/>
      </c>
      <c r="W50" s="5"/>
      <c r="X50" s="5"/>
      <c r="Y50" s="5"/>
    </row>
    <row r="51" spans="1:25" x14ac:dyDescent="0.3">
      <c r="A51" s="2" t="s">
        <v>174</v>
      </c>
      <c r="B51" s="3" t="s">
        <v>303</v>
      </c>
      <c r="C51" s="3" t="s">
        <v>176</v>
      </c>
      <c r="D51" s="3" t="s">
        <v>28</v>
      </c>
      <c r="E51" s="3" t="s">
        <v>304</v>
      </c>
      <c r="F51" s="4"/>
      <c r="G51" s="4"/>
      <c r="H51" s="3"/>
      <c r="I51" s="3"/>
      <c r="J51" s="3"/>
      <c r="K51" s="3" t="s">
        <v>305</v>
      </c>
      <c r="L51" s="3" t="s">
        <v>306</v>
      </c>
      <c r="M51" s="3"/>
      <c r="N51" s="3" t="s">
        <v>181</v>
      </c>
      <c r="O51" s="3" t="s">
        <v>182</v>
      </c>
      <c r="P51" s="3" t="s">
        <v>183</v>
      </c>
      <c r="Q51" s="5"/>
      <c r="R51" s="5"/>
      <c r="S51" s="5"/>
      <c r="T51" s="5"/>
      <c r="U51" s="6"/>
      <c r="V51" s="7" t="str">
        <f t="shared" si="1"/>
        <v/>
      </c>
      <c r="W51" s="5"/>
      <c r="X51" s="5"/>
      <c r="Y51" s="5"/>
    </row>
    <row r="52" spans="1:25" x14ac:dyDescent="0.3">
      <c r="A52" s="2" t="s">
        <v>174</v>
      </c>
      <c r="B52" s="3" t="s">
        <v>307</v>
      </c>
      <c r="C52" s="3" t="s">
        <v>176</v>
      </c>
      <c r="D52" s="3" t="s">
        <v>308</v>
      </c>
      <c r="E52" s="3" t="s">
        <v>309</v>
      </c>
      <c r="F52" s="4"/>
      <c r="G52" s="4"/>
      <c r="H52" s="3"/>
      <c r="I52" s="3" t="s">
        <v>148</v>
      </c>
      <c r="J52" s="3"/>
      <c r="K52" s="3" t="s">
        <v>310</v>
      </c>
      <c r="L52" s="3" t="s">
        <v>311</v>
      </c>
      <c r="M52" s="3"/>
      <c r="N52" s="3" t="s">
        <v>181</v>
      </c>
      <c r="O52" s="3" t="s">
        <v>182</v>
      </c>
      <c r="P52" s="3" t="s">
        <v>183</v>
      </c>
      <c r="Q52" s="5"/>
      <c r="R52" s="5"/>
      <c r="S52" s="5"/>
      <c r="T52" s="5"/>
      <c r="U52" s="6"/>
      <c r="V52" s="7" t="str">
        <f t="shared" si="1"/>
        <v/>
      </c>
      <c r="W52" s="5"/>
      <c r="X52" s="5"/>
      <c r="Y52" s="5"/>
    </row>
    <row r="53" spans="1:25" x14ac:dyDescent="0.3">
      <c r="A53" s="2" t="s">
        <v>174</v>
      </c>
      <c r="B53" s="3" t="s">
        <v>312</v>
      </c>
      <c r="C53" s="3" t="s">
        <v>176</v>
      </c>
      <c r="D53" s="3" t="s">
        <v>51</v>
      </c>
      <c r="E53" s="3" t="s">
        <v>52</v>
      </c>
      <c r="F53" s="4"/>
      <c r="G53" s="4"/>
      <c r="H53" s="8" t="s">
        <v>313</v>
      </c>
      <c r="I53" s="3"/>
      <c r="J53" s="3"/>
      <c r="K53" s="3" t="s">
        <v>314</v>
      </c>
      <c r="L53" s="3" t="s">
        <v>315</v>
      </c>
      <c r="M53" s="3" t="s">
        <v>316</v>
      </c>
      <c r="N53" s="3" t="s">
        <v>181</v>
      </c>
      <c r="O53" s="3" t="s">
        <v>182</v>
      </c>
      <c r="P53" s="3" t="s">
        <v>183</v>
      </c>
      <c r="Q53" s="5"/>
      <c r="R53" s="5"/>
      <c r="S53" s="5"/>
      <c r="T53" s="5"/>
      <c r="U53" s="6"/>
      <c r="V53" s="7" t="str">
        <f t="shared" si="1"/>
        <v/>
      </c>
      <c r="W53" s="5"/>
      <c r="X53" s="5"/>
      <c r="Y53" s="5"/>
    </row>
    <row r="54" spans="1:25" x14ac:dyDescent="0.3">
      <c r="A54" s="2" t="s">
        <v>174</v>
      </c>
      <c r="B54" s="3" t="s">
        <v>317</v>
      </c>
      <c r="C54" s="3" t="s">
        <v>176</v>
      </c>
      <c r="D54" s="3" t="s">
        <v>28</v>
      </c>
      <c r="E54" s="3" t="s">
        <v>29</v>
      </c>
      <c r="F54" s="4"/>
      <c r="G54" s="4"/>
      <c r="H54" s="8" t="s">
        <v>318</v>
      </c>
      <c r="I54" s="3"/>
      <c r="J54" s="3" t="s">
        <v>157</v>
      </c>
      <c r="K54" s="3" t="s">
        <v>319</v>
      </c>
      <c r="L54" s="3" t="s">
        <v>320</v>
      </c>
      <c r="M54" s="3" t="s">
        <v>321</v>
      </c>
      <c r="N54" s="3" t="s">
        <v>181</v>
      </c>
      <c r="O54" s="3" t="s">
        <v>182</v>
      </c>
      <c r="P54" s="3" t="s">
        <v>183</v>
      </c>
      <c r="Q54" s="5"/>
      <c r="R54" s="5"/>
      <c r="S54" s="5"/>
      <c r="T54" s="5"/>
      <c r="U54" s="6"/>
      <c r="V54" s="7" t="str">
        <f t="shared" si="1"/>
        <v/>
      </c>
      <c r="W54" s="5"/>
      <c r="X54" s="5"/>
      <c r="Y54" s="5"/>
    </row>
    <row r="55" spans="1:25" x14ac:dyDescent="0.3">
      <c r="A55" s="2" t="s">
        <v>174</v>
      </c>
      <c r="B55" s="3" t="s">
        <v>322</v>
      </c>
      <c r="C55" s="3" t="s">
        <v>176</v>
      </c>
      <c r="D55" s="3" t="s">
        <v>86</v>
      </c>
      <c r="E55" s="3" t="s">
        <v>87</v>
      </c>
      <c r="F55" s="4"/>
      <c r="G55" s="4"/>
      <c r="H55" s="8" t="s">
        <v>323</v>
      </c>
      <c r="I55" s="3"/>
      <c r="J55" s="3"/>
      <c r="K55" s="3" t="s">
        <v>324</v>
      </c>
      <c r="L55" s="3" t="s">
        <v>325</v>
      </c>
      <c r="M55" s="3"/>
      <c r="N55" s="3" t="s">
        <v>181</v>
      </c>
      <c r="O55" s="3" t="s">
        <v>182</v>
      </c>
      <c r="P55" s="3" t="s">
        <v>183</v>
      </c>
      <c r="Q55" s="5"/>
      <c r="R55" s="5"/>
      <c r="S55" s="5"/>
      <c r="T55" s="5"/>
      <c r="U55" s="6"/>
      <c r="V55" s="7" t="str">
        <f t="shared" si="1"/>
        <v/>
      </c>
      <c r="W55" s="5"/>
      <c r="X55" s="5"/>
      <c r="Y55" s="5"/>
    </row>
    <row r="56" spans="1:25" x14ac:dyDescent="0.3">
      <c r="A56" s="2" t="s">
        <v>174</v>
      </c>
      <c r="B56" s="3" t="s">
        <v>326</v>
      </c>
      <c r="C56" s="3" t="s">
        <v>176</v>
      </c>
      <c r="D56" s="3" t="s">
        <v>51</v>
      </c>
      <c r="E56" s="3" t="s">
        <v>52</v>
      </c>
      <c r="F56" s="4"/>
      <c r="G56" s="4"/>
      <c r="H56" s="3"/>
      <c r="I56" s="3" t="s">
        <v>148</v>
      </c>
      <c r="J56" s="3"/>
      <c r="K56" s="3" t="s">
        <v>327</v>
      </c>
      <c r="L56" s="3" t="s">
        <v>328</v>
      </c>
      <c r="M56" s="3" t="s">
        <v>329</v>
      </c>
      <c r="N56" s="3" t="s">
        <v>181</v>
      </c>
      <c r="O56" s="3" t="s">
        <v>182</v>
      </c>
      <c r="P56" s="3" t="s">
        <v>183</v>
      </c>
      <c r="Q56" s="5"/>
      <c r="R56" s="5"/>
      <c r="S56" s="5"/>
      <c r="T56" s="5"/>
      <c r="U56" s="6"/>
      <c r="V56" s="7" t="str">
        <f t="shared" si="1"/>
        <v/>
      </c>
      <c r="W56" s="5"/>
      <c r="X56" s="5"/>
      <c r="Y56" s="5"/>
    </row>
    <row r="57" spans="1:25" x14ac:dyDescent="0.3">
      <c r="A57" s="2" t="s">
        <v>174</v>
      </c>
      <c r="B57" s="3" t="s">
        <v>330</v>
      </c>
      <c r="C57" s="3" t="s">
        <v>176</v>
      </c>
      <c r="D57" s="3" t="s">
        <v>44</v>
      </c>
      <c r="E57" s="3" t="s">
        <v>45</v>
      </c>
      <c r="F57" s="4"/>
      <c r="G57" s="4"/>
      <c r="H57" s="3"/>
      <c r="I57" s="3" t="s">
        <v>148</v>
      </c>
      <c r="J57" s="3"/>
      <c r="K57" s="3" t="s">
        <v>331</v>
      </c>
      <c r="L57" s="3" t="s">
        <v>332</v>
      </c>
      <c r="M57" s="3" t="s">
        <v>333</v>
      </c>
      <c r="N57" s="3" t="s">
        <v>181</v>
      </c>
      <c r="O57" s="3" t="s">
        <v>182</v>
      </c>
      <c r="P57" s="3" t="s">
        <v>183</v>
      </c>
      <c r="Q57" s="5"/>
      <c r="R57" s="5"/>
      <c r="S57" s="5"/>
      <c r="T57" s="5"/>
      <c r="U57" s="6"/>
      <c r="V57" s="7" t="str">
        <f t="shared" si="1"/>
        <v/>
      </c>
      <c r="W57" s="5"/>
      <c r="X57" s="5"/>
      <c r="Y57" s="5"/>
    </row>
    <row r="58" spans="1:25" x14ac:dyDescent="0.3">
      <c r="A58" s="2" t="s">
        <v>174</v>
      </c>
      <c r="B58" s="3" t="s">
        <v>334</v>
      </c>
      <c r="C58" s="3" t="s">
        <v>176</v>
      </c>
      <c r="D58" s="3" t="s">
        <v>28</v>
      </c>
      <c r="E58" s="3" t="s">
        <v>29</v>
      </c>
      <c r="F58" s="4"/>
      <c r="G58" s="4"/>
      <c r="H58" s="8" t="s">
        <v>335</v>
      </c>
      <c r="I58" s="3"/>
      <c r="J58" s="3"/>
      <c r="K58" s="3" t="s">
        <v>336</v>
      </c>
      <c r="L58" s="3" t="s">
        <v>337</v>
      </c>
      <c r="M58" s="3" t="s">
        <v>338</v>
      </c>
      <c r="N58" s="3" t="s">
        <v>181</v>
      </c>
      <c r="O58" s="3" t="s">
        <v>182</v>
      </c>
      <c r="P58" s="3" t="s">
        <v>183</v>
      </c>
      <c r="Q58" s="5"/>
      <c r="R58" s="5"/>
      <c r="S58" s="5"/>
      <c r="T58" s="5"/>
      <c r="U58" s="6"/>
      <c r="V58" s="7" t="str">
        <f t="shared" si="1"/>
        <v/>
      </c>
      <c r="W58" s="5"/>
      <c r="X58" s="5"/>
      <c r="Y58" s="5"/>
    </row>
    <row r="59" spans="1:25" x14ac:dyDescent="0.3">
      <c r="A59" s="2" t="s">
        <v>174</v>
      </c>
      <c r="B59" s="3" t="s">
        <v>339</v>
      </c>
      <c r="C59" s="3" t="s">
        <v>176</v>
      </c>
      <c r="D59" s="3" t="s">
        <v>28</v>
      </c>
      <c r="E59" s="3" t="s">
        <v>29</v>
      </c>
      <c r="F59" s="4"/>
      <c r="G59" s="4"/>
      <c r="H59" s="8" t="s">
        <v>340</v>
      </c>
      <c r="I59" s="3" t="s">
        <v>148</v>
      </c>
      <c r="J59" s="3" t="s">
        <v>223</v>
      </c>
      <c r="K59" s="3" t="s">
        <v>341</v>
      </c>
      <c r="L59" s="3" t="s">
        <v>342</v>
      </c>
      <c r="M59" s="3" t="s">
        <v>343</v>
      </c>
      <c r="N59" s="3" t="s">
        <v>181</v>
      </c>
      <c r="O59" s="3" t="s">
        <v>182</v>
      </c>
      <c r="P59" s="3" t="s">
        <v>183</v>
      </c>
      <c r="Q59" s="5"/>
      <c r="R59" s="5"/>
      <c r="S59" s="5"/>
      <c r="T59" s="5"/>
      <c r="U59" s="6"/>
      <c r="V59" s="7" t="str">
        <f t="shared" si="1"/>
        <v/>
      </c>
      <c r="W59" s="5"/>
      <c r="X59" s="5"/>
      <c r="Y59" s="5"/>
    </row>
    <row r="60" spans="1:25" x14ac:dyDescent="0.3">
      <c r="A60" s="2" t="s">
        <v>174</v>
      </c>
      <c r="B60" s="3" t="s">
        <v>344</v>
      </c>
      <c r="C60" s="3" t="s">
        <v>176</v>
      </c>
      <c r="D60" s="3" t="s">
        <v>28</v>
      </c>
      <c r="E60" s="3" t="s">
        <v>29</v>
      </c>
      <c r="F60" s="4"/>
      <c r="G60" s="4"/>
      <c r="H60" s="3"/>
      <c r="I60" s="3"/>
      <c r="J60" s="3"/>
      <c r="K60" s="3" t="s">
        <v>345</v>
      </c>
      <c r="L60" s="3" t="s">
        <v>346</v>
      </c>
      <c r="M60" s="3" t="s">
        <v>347</v>
      </c>
      <c r="N60" s="3" t="s">
        <v>181</v>
      </c>
      <c r="O60" s="3" t="s">
        <v>182</v>
      </c>
      <c r="P60" s="3" t="s">
        <v>183</v>
      </c>
      <c r="Q60" s="5"/>
      <c r="R60" s="5"/>
      <c r="S60" s="5"/>
      <c r="T60" s="5"/>
      <c r="U60" s="6"/>
      <c r="V60" s="7" t="str">
        <f t="shared" si="1"/>
        <v/>
      </c>
      <c r="W60" s="5"/>
      <c r="X60" s="5"/>
      <c r="Y60" s="5"/>
    </row>
    <row r="61" spans="1:25" x14ac:dyDescent="0.3">
      <c r="A61" s="2" t="s">
        <v>174</v>
      </c>
      <c r="B61" s="3" t="s">
        <v>348</v>
      </c>
      <c r="C61" s="3" t="s">
        <v>176</v>
      </c>
      <c r="D61" s="3" t="s">
        <v>28</v>
      </c>
      <c r="E61" s="3" t="s">
        <v>29</v>
      </c>
      <c r="F61" s="4"/>
      <c r="G61" s="4"/>
      <c r="H61" s="8" t="s">
        <v>349</v>
      </c>
      <c r="I61" s="3" t="s">
        <v>148</v>
      </c>
      <c r="J61" s="3" t="s">
        <v>350</v>
      </c>
      <c r="K61" s="3" t="s">
        <v>351</v>
      </c>
      <c r="L61" s="3" t="s">
        <v>352</v>
      </c>
      <c r="M61" s="3" t="s">
        <v>353</v>
      </c>
      <c r="N61" s="3" t="s">
        <v>181</v>
      </c>
      <c r="O61" s="3" t="s">
        <v>182</v>
      </c>
      <c r="P61" s="3" t="s">
        <v>183</v>
      </c>
      <c r="Q61" s="5"/>
      <c r="R61" s="5"/>
      <c r="S61" s="5"/>
      <c r="T61" s="5"/>
      <c r="U61" s="6"/>
      <c r="V61" s="7" t="str">
        <f t="shared" si="1"/>
        <v/>
      </c>
      <c r="W61" s="5"/>
      <c r="X61" s="5"/>
      <c r="Y61" s="5"/>
    </row>
    <row r="62" spans="1:25" x14ac:dyDescent="0.3">
      <c r="A62" s="2" t="s">
        <v>174</v>
      </c>
      <c r="B62" s="3" t="s">
        <v>354</v>
      </c>
      <c r="C62" s="3" t="s">
        <v>176</v>
      </c>
      <c r="D62" s="3" t="s">
        <v>28</v>
      </c>
      <c r="E62" s="3" t="s">
        <v>29</v>
      </c>
      <c r="F62" s="4"/>
      <c r="G62" s="4"/>
      <c r="H62" s="8" t="s">
        <v>53</v>
      </c>
      <c r="I62" s="3"/>
      <c r="J62" s="3"/>
      <c r="K62" s="3" t="s">
        <v>355</v>
      </c>
      <c r="L62" s="3" t="s">
        <v>356</v>
      </c>
      <c r="M62" s="3" t="s">
        <v>357</v>
      </c>
      <c r="N62" s="3" t="s">
        <v>181</v>
      </c>
      <c r="O62" s="3" t="s">
        <v>182</v>
      </c>
      <c r="P62" s="3" t="s">
        <v>183</v>
      </c>
      <c r="Q62" s="5"/>
      <c r="R62" s="5"/>
      <c r="S62" s="5"/>
      <c r="T62" s="5"/>
      <c r="U62" s="6"/>
      <c r="V62" s="7" t="str">
        <f t="shared" si="1"/>
        <v/>
      </c>
      <c r="W62" s="5"/>
      <c r="X62" s="5"/>
      <c r="Y62" s="5"/>
    </row>
    <row r="63" spans="1:25" x14ac:dyDescent="0.3">
      <c r="A63" s="2" t="s">
        <v>174</v>
      </c>
      <c r="B63" s="3" t="s">
        <v>358</v>
      </c>
      <c r="C63" s="3" t="s">
        <v>176</v>
      </c>
      <c r="D63" s="3" t="s">
        <v>28</v>
      </c>
      <c r="E63" s="3" t="s">
        <v>29</v>
      </c>
      <c r="F63" s="4"/>
      <c r="G63" s="4"/>
      <c r="H63" s="3"/>
      <c r="I63" s="3"/>
      <c r="J63" s="3"/>
      <c r="K63" s="3" t="s">
        <v>359</v>
      </c>
      <c r="L63" s="3" t="s">
        <v>360</v>
      </c>
      <c r="M63" s="3" t="s">
        <v>361</v>
      </c>
      <c r="N63" s="3" t="s">
        <v>181</v>
      </c>
      <c r="O63" s="3" t="s">
        <v>182</v>
      </c>
      <c r="P63" s="3" t="s">
        <v>183</v>
      </c>
      <c r="Q63" s="5"/>
      <c r="R63" s="5"/>
      <c r="S63" s="5"/>
      <c r="T63" s="5"/>
      <c r="U63" s="6"/>
      <c r="V63" s="7" t="str">
        <f t="shared" si="1"/>
        <v/>
      </c>
      <c r="W63" s="5"/>
      <c r="X63" s="5"/>
      <c r="Y63" s="5"/>
    </row>
    <row r="64" spans="1:25" x14ac:dyDescent="0.3">
      <c r="A64" s="2" t="s">
        <v>174</v>
      </c>
      <c r="B64" s="3" t="s">
        <v>362</v>
      </c>
      <c r="C64" s="3" t="s">
        <v>176</v>
      </c>
      <c r="D64" s="3" t="s">
        <v>28</v>
      </c>
      <c r="E64" s="3" t="s">
        <v>29</v>
      </c>
      <c r="F64" s="4"/>
      <c r="G64" s="4"/>
      <c r="H64" s="8" t="s">
        <v>363</v>
      </c>
      <c r="I64" s="3"/>
      <c r="J64" s="3" t="s">
        <v>243</v>
      </c>
      <c r="K64" s="3" t="s">
        <v>345</v>
      </c>
      <c r="L64" s="3" t="s">
        <v>346</v>
      </c>
      <c r="M64" s="3" t="s">
        <v>364</v>
      </c>
      <c r="N64" s="3" t="s">
        <v>181</v>
      </c>
      <c r="O64" s="3" t="s">
        <v>182</v>
      </c>
      <c r="P64" s="3" t="s">
        <v>183</v>
      </c>
      <c r="Q64" s="5"/>
      <c r="R64" s="5"/>
      <c r="S64" s="5"/>
      <c r="T64" s="5"/>
      <c r="U64" s="6"/>
      <c r="V64" s="7" t="str">
        <f t="shared" si="1"/>
        <v/>
      </c>
      <c r="W64" s="5"/>
      <c r="X64" s="5"/>
      <c r="Y64" s="5"/>
    </row>
    <row r="65" spans="1:25" x14ac:dyDescent="0.3">
      <c r="A65" s="2" t="s">
        <v>174</v>
      </c>
      <c r="B65" s="3" t="s">
        <v>365</v>
      </c>
      <c r="C65" s="3" t="s">
        <v>176</v>
      </c>
      <c r="D65" s="3" t="s">
        <v>28</v>
      </c>
      <c r="E65" s="3" t="s">
        <v>29</v>
      </c>
      <c r="F65" s="4"/>
      <c r="G65" s="4"/>
      <c r="H65" s="8" t="s">
        <v>366</v>
      </c>
      <c r="I65" s="3"/>
      <c r="J65" s="3"/>
      <c r="K65" s="3" t="s">
        <v>367</v>
      </c>
      <c r="L65" s="3" t="s">
        <v>368</v>
      </c>
      <c r="M65" s="3" t="s">
        <v>369</v>
      </c>
      <c r="N65" s="3" t="s">
        <v>181</v>
      </c>
      <c r="O65" s="3" t="s">
        <v>182</v>
      </c>
      <c r="P65" s="3" t="s">
        <v>183</v>
      </c>
      <c r="Q65" s="5"/>
      <c r="R65" s="5"/>
      <c r="S65" s="5"/>
      <c r="T65" s="5"/>
      <c r="U65" s="6"/>
      <c r="V65" s="7" t="str">
        <f t="shared" si="1"/>
        <v/>
      </c>
      <c r="W65" s="5"/>
      <c r="X65" s="5"/>
      <c r="Y65" s="5"/>
    </row>
    <row r="66" spans="1:25" x14ac:dyDescent="0.3">
      <c r="A66" s="2" t="s">
        <v>174</v>
      </c>
      <c r="B66" s="3" t="s">
        <v>370</v>
      </c>
      <c r="C66" s="3" t="s">
        <v>176</v>
      </c>
      <c r="D66" s="3" t="s">
        <v>28</v>
      </c>
      <c r="E66" s="3" t="s">
        <v>29</v>
      </c>
      <c r="F66" s="4"/>
      <c r="G66" s="4"/>
      <c r="H66" s="8" t="s">
        <v>371</v>
      </c>
      <c r="I66" s="3"/>
      <c r="J66" s="3"/>
      <c r="K66" s="3" t="s">
        <v>372</v>
      </c>
      <c r="L66" s="3" t="s">
        <v>342</v>
      </c>
      <c r="M66" s="3" t="s">
        <v>373</v>
      </c>
      <c r="N66" s="3" t="s">
        <v>181</v>
      </c>
      <c r="O66" s="3" t="s">
        <v>182</v>
      </c>
      <c r="P66" s="3" t="s">
        <v>183</v>
      </c>
      <c r="Q66" s="5"/>
      <c r="R66" s="5"/>
      <c r="S66" s="5"/>
      <c r="T66" s="5"/>
      <c r="U66" s="6"/>
      <c r="V66" s="7" t="str">
        <f t="shared" ref="V66:V97" si="2">IF(U66="","",WORKDAY(U66,5))</f>
        <v/>
      </c>
      <c r="W66" s="5"/>
      <c r="X66" s="5"/>
      <c r="Y66" s="5"/>
    </row>
    <row r="67" spans="1:25" x14ac:dyDescent="0.3">
      <c r="A67" s="2" t="s">
        <v>174</v>
      </c>
      <c r="B67" s="3" t="s">
        <v>374</v>
      </c>
      <c r="C67" s="3" t="s">
        <v>176</v>
      </c>
      <c r="D67" s="3" t="s">
        <v>28</v>
      </c>
      <c r="E67" s="3" t="s">
        <v>29</v>
      </c>
      <c r="F67" s="4"/>
      <c r="G67" s="4"/>
      <c r="H67" s="8" t="s">
        <v>375</v>
      </c>
      <c r="I67" s="3" t="s">
        <v>148</v>
      </c>
      <c r="J67" s="3"/>
      <c r="K67" s="3" t="s">
        <v>376</v>
      </c>
      <c r="L67" s="3" t="s">
        <v>377</v>
      </c>
      <c r="M67" s="3" t="s">
        <v>378</v>
      </c>
      <c r="N67" s="3" t="s">
        <v>181</v>
      </c>
      <c r="O67" s="3" t="s">
        <v>182</v>
      </c>
      <c r="P67" s="3" t="s">
        <v>183</v>
      </c>
      <c r="Q67" s="5"/>
      <c r="R67" s="5"/>
      <c r="S67" s="5"/>
      <c r="T67" s="5"/>
      <c r="U67" s="6"/>
      <c r="V67" s="7" t="str">
        <f t="shared" si="2"/>
        <v/>
      </c>
      <c r="W67" s="5"/>
      <c r="X67" s="5"/>
      <c r="Y67" s="5"/>
    </row>
    <row r="68" spans="1:25" x14ac:dyDescent="0.3">
      <c r="A68" s="2" t="s">
        <v>174</v>
      </c>
      <c r="B68" s="3" t="s">
        <v>379</v>
      </c>
      <c r="C68" s="3" t="s">
        <v>176</v>
      </c>
      <c r="D68" s="3" t="s">
        <v>38</v>
      </c>
      <c r="E68" s="3" t="s">
        <v>39</v>
      </c>
      <c r="F68" s="4"/>
      <c r="G68" s="4"/>
      <c r="H68" s="3"/>
      <c r="I68" s="3" t="s">
        <v>148</v>
      </c>
      <c r="J68" s="3"/>
      <c r="K68" s="3" t="s">
        <v>380</v>
      </c>
      <c r="L68" s="3" t="s">
        <v>381</v>
      </c>
      <c r="M68" s="3" t="s">
        <v>382</v>
      </c>
      <c r="N68" s="3" t="s">
        <v>181</v>
      </c>
      <c r="O68" s="3" t="s">
        <v>182</v>
      </c>
      <c r="P68" s="3" t="s">
        <v>183</v>
      </c>
      <c r="Q68" s="5"/>
      <c r="R68" s="5"/>
      <c r="S68" s="5"/>
      <c r="T68" s="5"/>
      <c r="U68" s="6"/>
      <c r="V68" s="7" t="str">
        <f t="shared" si="2"/>
        <v/>
      </c>
      <c r="W68" s="5"/>
      <c r="X68" s="5"/>
      <c r="Y68" s="5"/>
    </row>
  </sheetData>
  <autoFilter ref="A1:Y68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FC0EF"/>
  </sheetPr>
  <dimension ref="A1:X23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46" customWidth="1"/>
    <col min="2" max="2" width="26" customWidth="1"/>
    <col min="3" max="3" width="5" customWidth="1"/>
    <col min="4" max="4" width="15" customWidth="1"/>
    <col min="5" max="6" width="16" customWidth="1"/>
    <col min="7" max="7" width="15" customWidth="1"/>
    <col min="8" max="8" width="10" customWidth="1"/>
    <col min="9" max="9" width="9" customWidth="1"/>
    <col min="10" max="10" width="14" customWidth="1"/>
    <col min="11" max="11" width="30" customWidth="1"/>
    <col min="12" max="12" width="24" customWidth="1"/>
    <col min="13" max="13" width="52" customWidth="1"/>
    <col min="14" max="14" width="40" customWidth="1"/>
    <col min="15" max="15" width="26" customWidth="1"/>
    <col min="16" max="16" width="18" customWidth="1"/>
    <col min="17" max="17" width="14" customWidth="1"/>
    <col min="18" max="18" width="24" customWidth="1"/>
    <col min="19" max="19" width="14" customWidth="1"/>
    <col min="20" max="21" width="12" customWidth="1"/>
    <col min="22" max="22" width="16" customWidth="1"/>
    <col min="23" max="23" width="18" customWidth="1"/>
    <col min="24" max="24" width="28" customWidth="1"/>
  </cols>
  <sheetData>
    <row r="1" spans="1:24" x14ac:dyDescent="0.3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</row>
    <row r="2" spans="1:24" x14ac:dyDescent="0.3">
      <c r="A2" s="2" t="s">
        <v>26</v>
      </c>
      <c r="B2" s="3" t="s">
        <v>27</v>
      </c>
      <c r="C2" s="3" t="s">
        <v>28</v>
      </c>
      <c r="D2" s="3" t="s">
        <v>29</v>
      </c>
      <c r="E2" s="4">
        <v>669001872.00999999</v>
      </c>
      <c r="F2" s="4">
        <v>669001872.00999999</v>
      </c>
      <c r="G2" s="3"/>
      <c r="H2" s="3"/>
      <c r="I2" s="3" t="s">
        <v>30</v>
      </c>
      <c r="J2" s="3" t="s">
        <v>31</v>
      </c>
      <c r="K2" s="3" t="s">
        <v>32</v>
      </c>
      <c r="L2" s="3" t="s">
        <v>33</v>
      </c>
      <c r="M2" s="3" t="s">
        <v>34</v>
      </c>
      <c r="N2" s="3" t="s">
        <v>35</v>
      </c>
      <c r="O2" s="3" t="s">
        <v>36</v>
      </c>
      <c r="P2" s="5"/>
      <c r="Q2" s="5"/>
      <c r="R2" s="5"/>
      <c r="S2" s="5"/>
      <c r="T2" s="6"/>
      <c r="U2" s="7" t="str">
        <f t="shared" ref="U2:U23" si="0">IF(T2="","",WORKDAY(T2,5))</f>
        <v/>
      </c>
      <c r="V2" s="5"/>
      <c r="W2" s="5"/>
      <c r="X2" s="5"/>
    </row>
    <row r="3" spans="1:24" x14ac:dyDescent="0.3">
      <c r="A3" s="2" t="s">
        <v>37</v>
      </c>
      <c r="B3" s="3" t="s">
        <v>27</v>
      </c>
      <c r="C3" s="3" t="s">
        <v>38</v>
      </c>
      <c r="D3" s="3" t="s">
        <v>39</v>
      </c>
      <c r="E3" s="4">
        <v>698144780.92999995</v>
      </c>
      <c r="F3" s="4">
        <v>698144780.92999995</v>
      </c>
      <c r="G3" s="3"/>
      <c r="H3" s="3"/>
      <c r="I3" s="3"/>
      <c r="J3" s="3" t="s">
        <v>40</v>
      </c>
      <c r="K3" s="3" t="s">
        <v>41</v>
      </c>
      <c r="L3" s="3"/>
      <c r="M3" s="3" t="s">
        <v>34</v>
      </c>
      <c r="N3" s="3" t="s">
        <v>35</v>
      </c>
      <c r="O3" s="3" t="s">
        <v>36</v>
      </c>
      <c r="P3" s="5"/>
      <c r="Q3" s="5"/>
      <c r="R3" s="5"/>
      <c r="S3" s="5"/>
      <c r="T3" s="6"/>
      <c r="U3" s="7" t="str">
        <f t="shared" si="0"/>
        <v/>
      </c>
      <c r="V3" s="5"/>
      <c r="W3" s="5"/>
      <c r="X3" s="5"/>
    </row>
    <row r="4" spans="1:24" x14ac:dyDescent="0.3">
      <c r="A4" s="2" t="s">
        <v>42</v>
      </c>
      <c r="B4" s="3" t="s">
        <v>43</v>
      </c>
      <c r="C4" s="3" t="s">
        <v>44</v>
      </c>
      <c r="D4" s="3" t="s">
        <v>45</v>
      </c>
      <c r="E4" s="4">
        <v>1099532202.28</v>
      </c>
      <c r="F4" s="4">
        <v>1099532202.28</v>
      </c>
      <c r="G4" s="3"/>
      <c r="H4" s="3"/>
      <c r="I4" s="3" t="s">
        <v>46</v>
      </c>
      <c r="J4" s="3" t="s">
        <v>47</v>
      </c>
      <c r="K4" s="3" t="s">
        <v>48</v>
      </c>
      <c r="L4" s="3" t="s">
        <v>49</v>
      </c>
      <c r="M4" s="3" t="s">
        <v>34</v>
      </c>
      <c r="N4" s="3" t="s">
        <v>35</v>
      </c>
      <c r="O4" s="3" t="s">
        <v>36</v>
      </c>
      <c r="P4" s="5"/>
      <c r="Q4" s="5"/>
      <c r="R4" s="5"/>
      <c r="S4" s="5"/>
      <c r="T4" s="6"/>
      <c r="U4" s="7" t="str">
        <f t="shared" si="0"/>
        <v/>
      </c>
      <c r="V4" s="5"/>
      <c r="W4" s="5"/>
      <c r="X4" s="5"/>
    </row>
    <row r="5" spans="1:24" x14ac:dyDescent="0.3">
      <c r="A5" s="2" t="s">
        <v>50</v>
      </c>
      <c r="B5" s="3" t="s">
        <v>27</v>
      </c>
      <c r="C5" s="3" t="s">
        <v>51</v>
      </c>
      <c r="D5" s="3" t="s">
        <v>52</v>
      </c>
      <c r="E5" s="4">
        <v>1182889189.4400001</v>
      </c>
      <c r="F5" s="4">
        <v>1182889189.4400001</v>
      </c>
      <c r="G5" s="8" t="s">
        <v>53</v>
      </c>
      <c r="H5" s="3"/>
      <c r="I5" s="3" t="s">
        <v>54</v>
      </c>
      <c r="J5" s="3" t="s">
        <v>55</v>
      </c>
      <c r="K5" s="3" t="s">
        <v>56</v>
      </c>
      <c r="L5" s="3" t="s">
        <v>57</v>
      </c>
      <c r="M5" s="3" t="s">
        <v>34</v>
      </c>
      <c r="N5" s="3" t="s">
        <v>35</v>
      </c>
      <c r="O5" s="3" t="s">
        <v>36</v>
      </c>
      <c r="P5" s="5"/>
      <c r="Q5" s="5"/>
      <c r="R5" s="5"/>
      <c r="S5" s="5"/>
      <c r="T5" s="6"/>
      <c r="U5" s="7" t="str">
        <f t="shared" si="0"/>
        <v/>
      </c>
      <c r="V5" s="5"/>
      <c r="W5" s="5"/>
      <c r="X5" s="5"/>
    </row>
    <row r="6" spans="1:24" x14ac:dyDescent="0.3">
      <c r="A6" s="2" t="s">
        <v>58</v>
      </c>
      <c r="B6" s="3" t="s">
        <v>27</v>
      </c>
      <c r="C6" s="3" t="s">
        <v>28</v>
      </c>
      <c r="D6" s="3" t="s">
        <v>29</v>
      </c>
      <c r="E6" s="4">
        <v>1693894165.0599999</v>
      </c>
      <c r="F6" s="4">
        <v>1693894165.0599999</v>
      </c>
      <c r="G6" s="8" t="s">
        <v>59</v>
      </c>
      <c r="H6" s="3"/>
      <c r="I6" s="3" t="s">
        <v>60</v>
      </c>
      <c r="J6" s="3" t="s">
        <v>61</v>
      </c>
      <c r="K6" s="3" t="s">
        <v>62</v>
      </c>
      <c r="L6" s="3" t="s">
        <v>63</v>
      </c>
      <c r="M6" s="3" t="s">
        <v>34</v>
      </c>
      <c r="N6" s="3" t="s">
        <v>35</v>
      </c>
      <c r="O6" s="3" t="s">
        <v>36</v>
      </c>
      <c r="P6" s="5"/>
      <c r="Q6" s="5"/>
      <c r="R6" s="5"/>
      <c r="S6" s="5"/>
      <c r="T6" s="6"/>
      <c r="U6" s="7" t="str">
        <f t="shared" si="0"/>
        <v/>
      </c>
      <c r="V6" s="5"/>
      <c r="W6" s="5"/>
      <c r="X6" s="5"/>
    </row>
    <row r="7" spans="1:24" x14ac:dyDescent="0.3">
      <c r="A7" s="2" t="s">
        <v>64</v>
      </c>
      <c r="B7" s="3" t="s">
        <v>65</v>
      </c>
      <c r="C7" s="3" t="s">
        <v>38</v>
      </c>
      <c r="D7" s="3" t="s">
        <v>39</v>
      </c>
      <c r="E7" s="4">
        <v>1700000000</v>
      </c>
      <c r="F7" s="4">
        <v>1700000000</v>
      </c>
      <c r="G7" s="3"/>
      <c r="H7" s="3"/>
      <c r="I7" s="3"/>
      <c r="J7" s="3" t="s">
        <v>66</v>
      </c>
      <c r="K7" s="3" t="s">
        <v>67</v>
      </c>
      <c r="L7" s="3" t="s">
        <v>68</v>
      </c>
      <c r="M7" s="3" t="s">
        <v>34</v>
      </c>
      <c r="N7" s="3" t="s">
        <v>35</v>
      </c>
      <c r="O7" s="3" t="s">
        <v>36</v>
      </c>
      <c r="P7" s="5"/>
      <c r="Q7" s="5"/>
      <c r="R7" s="5"/>
      <c r="S7" s="5"/>
      <c r="T7" s="6"/>
      <c r="U7" s="7" t="str">
        <f t="shared" si="0"/>
        <v/>
      </c>
      <c r="V7" s="5"/>
      <c r="W7" s="5"/>
      <c r="X7" s="5" t="s">
        <v>69</v>
      </c>
    </row>
    <row r="8" spans="1:24" x14ac:dyDescent="0.3">
      <c r="A8" s="2" t="s">
        <v>70</v>
      </c>
      <c r="B8" s="3" t="s">
        <v>27</v>
      </c>
      <c r="C8" s="3" t="s">
        <v>28</v>
      </c>
      <c r="D8" s="3" t="s">
        <v>71</v>
      </c>
      <c r="E8" s="4">
        <v>1922909547.1500001</v>
      </c>
      <c r="F8" s="4">
        <v>1922909547.1500001</v>
      </c>
      <c r="G8" s="3"/>
      <c r="H8" s="3"/>
      <c r="I8" s="3"/>
      <c r="J8" s="3" t="s">
        <v>72</v>
      </c>
      <c r="K8" s="3" t="s">
        <v>73</v>
      </c>
      <c r="L8" s="3" t="s">
        <v>74</v>
      </c>
      <c r="M8" s="3" t="s">
        <v>34</v>
      </c>
      <c r="N8" s="3" t="s">
        <v>35</v>
      </c>
      <c r="O8" s="3" t="s">
        <v>36</v>
      </c>
      <c r="P8" s="5"/>
      <c r="Q8" s="5"/>
      <c r="R8" s="5"/>
      <c r="S8" s="5"/>
      <c r="T8" s="6"/>
      <c r="U8" s="7" t="str">
        <f t="shared" si="0"/>
        <v/>
      </c>
      <c r="V8" s="5"/>
      <c r="W8" s="5"/>
      <c r="X8" s="5"/>
    </row>
    <row r="9" spans="1:24" x14ac:dyDescent="0.3">
      <c r="A9" s="2" t="s">
        <v>75</v>
      </c>
      <c r="B9" s="3" t="s">
        <v>27</v>
      </c>
      <c r="C9" s="3" t="s">
        <v>28</v>
      </c>
      <c r="D9" s="3" t="s">
        <v>76</v>
      </c>
      <c r="E9" s="4">
        <v>1946608132.5899999</v>
      </c>
      <c r="F9" s="4">
        <v>1946608132.5899999</v>
      </c>
      <c r="G9" s="3"/>
      <c r="H9" s="3"/>
      <c r="I9" s="3" t="s">
        <v>54</v>
      </c>
      <c r="J9" s="3" t="s">
        <v>77</v>
      </c>
      <c r="K9" s="3" t="s">
        <v>78</v>
      </c>
      <c r="L9" s="3" t="s">
        <v>79</v>
      </c>
      <c r="M9" s="3" t="s">
        <v>34</v>
      </c>
      <c r="N9" s="3" t="s">
        <v>35</v>
      </c>
      <c r="O9" s="3" t="s">
        <v>36</v>
      </c>
      <c r="P9" s="5"/>
      <c r="Q9" s="5"/>
      <c r="R9" s="5"/>
      <c r="S9" s="5"/>
      <c r="T9" s="6"/>
      <c r="U9" s="7" t="str">
        <f t="shared" si="0"/>
        <v/>
      </c>
      <c r="V9" s="5"/>
      <c r="W9" s="5"/>
      <c r="X9" s="5"/>
    </row>
    <row r="10" spans="1:24" x14ac:dyDescent="0.3">
      <c r="A10" s="2" t="s">
        <v>80</v>
      </c>
      <c r="B10" s="3" t="s">
        <v>27</v>
      </c>
      <c r="C10" s="3" t="s">
        <v>28</v>
      </c>
      <c r="D10" s="3" t="s">
        <v>29</v>
      </c>
      <c r="E10" s="4">
        <v>2238107791.4000001</v>
      </c>
      <c r="F10" s="4">
        <v>2238107791.4000001</v>
      </c>
      <c r="G10" s="3"/>
      <c r="H10" s="3"/>
      <c r="I10" s="3" t="s">
        <v>81</v>
      </c>
      <c r="J10" s="3" t="s">
        <v>82</v>
      </c>
      <c r="K10" s="3" t="s">
        <v>83</v>
      </c>
      <c r="L10" s="3" t="s">
        <v>84</v>
      </c>
      <c r="M10" s="3" t="s">
        <v>34</v>
      </c>
      <c r="N10" s="3" t="s">
        <v>35</v>
      </c>
      <c r="O10" s="3" t="s">
        <v>36</v>
      </c>
      <c r="P10" s="5"/>
      <c r="Q10" s="5"/>
      <c r="R10" s="5"/>
      <c r="S10" s="5"/>
      <c r="T10" s="6"/>
      <c r="U10" s="7" t="str">
        <f t="shared" si="0"/>
        <v/>
      </c>
      <c r="V10" s="5"/>
      <c r="W10" s="5"/>
      <c r="X10" s="5"/>
    </row>
    <row r="11" spans="1:24" x14ac:dyDescent="0.3">
      <c r="A11" s="2" t="s">
        <v>85</v>
      </c>
      <c r="B11" s="3" t="s">
        <v>27</v>
      </c>
      <c r="C11" s="3" t="s">
        <v>86</v>
      </c>
      <c r="D11" s="3" t="s">
        <v>87</v>
      </c>
      <c r="E11" s="4">
        <v>2256775633.29</v>
      </c>
      <c r="F11" s="4">
        <v>2256775633.29</v>
      </c>
      <c r="G11" s="3"/>
      <c r="H11" s="3"/>
      <c r="I11" s="3" t="s">
        <v>88</v>
      </c>
      <c r="J11" s="3" t="s">
        <v>89</v>
      </c>
      <c r="K11" s="3" t="s">
        <v>90</v>
      </c>
      <c r="L11" s="3" t="s">
        <v>91</v>
      </c>
      <c r="M11" s="3" t="s">
        <v>34</v>
      </c>
      <c r="N11" s="3" t="s">
        <v>35</v>
      </c>
      <c r="O11" s="3" t="s">
        <v>36</v>
      </c>
      <c r="P11" s="5"/>
      <c r="Q11" s="5"/>
      <c r="R11" s="5"/>
      <c r="S11" s="5"/>
      <c r="T11" s="6"/>
      <c r="U11" s="7" t="str">
        <f t="shared" si="0"/>
        <v/>
      </c>
      <c r="V11" s="5"/>
      <c r="W11" s="5"/>
      <c r="X11" s="5"/>
    </row>
    <row r="12" spans="1:24" x14ac:dyDescent="0.3">
      <c r="A12" s="2" t="s">
        <v>92</v>
      </c>
      <c r="B12" s="3" t="s">
        <v>27</v>
      </c>
      <c r="C12" s="3" t="s">
        <v>44</v>
      </c>
      <c r="D12" s="3" t="s">
        <v>45</v>
      </c>
      <c r="E12" s="4">
        <v>2315914776.4200001</v>
      </c>
      <c r="F12" s="4">
        <v>2315914776.4200001</v>
      </c>
      <c r="G12" s="3"/>
      <c r="H12" s="3"/>
      <c r="I12" s="3" t="s">
        <v>93</v>
      </c>
      <c r="J12" s="3" t="s">
        <v>94</v>
      </c>
      <c r="K12" s="3" t="s">
        <v>95</v>
      </c>
      <c r="L12" s="3" t="s">
        <v>96</v>
      </c>
      <c r="M12" s="3" t="s">
        <v>34</v>
      </c>
      <c r="N12" s="3" t="s">
        <v>35</v>
      </c>
      <c r="O12" s="3" t="s">
        <v>36</v>
      </c>
      <c r="P12" s="5"/>
      <c r="Q12" s="5"/>
      <c r="R12" s="5"/>
      <c r="S12" s="5"/>
      <c r="T12" s="6"/>
      <c r="U12" s="7" t="str">
        <f t="shared" si="0"/>
        <v/>
      </c>
      <c r="V12" s="5"/>
      <c r="W12" s="5"/>
      <c r="X12" s="5"/>
    </row>
    <row r="13" spans="1:24" x14ac:dyDescent="0.3">
      <c r="A13" s="2" t="s">
        <v>97</v>
      </c>
      <c r="B13" s="3" t="s">
        <v>27</v>
      </c>
      <c r="C13" s="3" t="s">
        <v>44</v>
      </c>
      <c r="D13" s="3" t="s">
        <v>45</v>
      </c>
      <c r="E13" s="4">
        <v>2396070586.02</v>
      </c>
      <c r="F13" s="4">
        <v>2396070586.02</v>
      </c>
      <c r="G13" s="8" t="s">
        <v>53</v>
      </c>
      <c r="H13" s="3"/>
      <c r="I13" s="3" t="s">
        <v>98</v>
      </c>
      <c r="J13" s="3" t="s">
        <v>99</v>
      </c>
      <c r="K13" s="3" t="s">
        <v>100</v>
      </c>
      <c r="L13" s="3" t="s">
        <v>101</v>
      </c>
      <c r="M13" s="3" t="s">
        <v>34</v>
      </c>
      <c r="N13" s="3" t="s">
        <v>35</v>
      </c>
      <c r="O13" s="3" t="s">
        <v>36</v>
      </c>
      <c r="P13" s="5"/>
      <c r="Q13" s="5"/>
      <c r="R13" s="5"/>
      <c r="S13" s="5"/>
      <c r="T13" s="6"/>
      <c r="U13" s="7" t="str">
        <f t="shared" si="0"/>
        <v/>
      </c>
      <c r="V13" s="5"/>
      <c r="W13" s="5"/>
      <c r="X13" s="5"/>
    </row>
    <row r="14" spans="1:24" x14ac:dyDescent="0.3">
      <c r="A14" s="2" t="s">
        <v>102</v>
      </c>
      <c r="B14" s="3" t="s">
        <v>65</v>
      </c>
      <c r="C14" s="3" t="s">
        <v>28</v>
      </c>
      <c r="D14" s="3" t="s">
        <v>29</v>
      </c>
      <c r="E14" s="4">
        <v>2800000000</v>
      </c>
      <c r="F14" s="4">
        <v>2800000000</v>
      </c>
      <c r="G14" s="3"/>
      <c r="H14" s="3"/>
      <c r="I14" s="3"/>
      <c r="J14" s="3" t="s">
        <v>103</v>
      </c>
      <c r="K14" s="3" t="s">
        <v>104</v>
      </c>
      <c r="L14" s="3" t="s">
        <v>105</v>
      </c>
      <c r="M14" s="3" t="s">
        <v>34</v>
      </c>
      <c r="N14" s="3" t="s">
        <v>35</v>
      </c>
      <c r="O14" s="3" t="s">
        <v>36</v>
      </c>
      <c r="P14" s="5"/>
      <c r="Q14" s="5"/>
      <c r="R14" s="5"/>
      <c r="S14" s="5"/>
      <c r="T14" s="6"/>
      <c r="U14" s="7" t="str">
        <f t="shared" si="0"/>
        <v/>
      </c>
      <c r="V14" s="5"/>
      <c r="W14" s="5"/>
      <c r="X14" s="5" t="s">
        <v>106</v>
      </c>
    </row>
    <row r="15" spans="1:24" x14ac:dyDescent="0.3">
      <c r="A15" s="2" t="s">
        <v>107</v>
      </c>
      <c r="B15" s="3" t="s">
        <v>27</v>
      </c>
      <c r="C15" s="3" t="s">
        <v>28</v>
      </c>
      <c r="D15" s="3" t="s">
        <v>29</v>
      </c>
      <c r="E15" s="4">
        <v>3728901351.1999998</v>
      </c>
      <c r="F15" s="4">
        <v>3728901351.1999998</v>
      </c>
      <c r="G15" s="3"/>
      <c r="H15" s="3"/>
      <c r="I15" s="3" t="s">
        <v>108</v>
      </c>
      <c r="J15" s="3" t="s">
        <v>109</v>
      </c>
      <c r="K15" s="3" t="s">
        <v>110</v>
      </c>
      <c r="L15" s="3" t="s">
        <v>111</v>
      </c>
      <c r="M15" s="3" t="s">
        <v>34</v>
      </c>
      <c r="N15" s="3" t="s">
        <v>35</v>
      </c>
      <c r="O15" s="3" t="s">
        <v>36</v>
      </c>
      <c r="P15" s="5"/>
      <c r="Q15" s="5"/>
      <c r="R15" s="5"/>
      <c r="S15" s="5"/>
      <c r="T15" s="6"/>
      <c r="U15" s="7" t="str">
        <f t="shared" si="0"/>
        <v/>
      </c>
      <c r="V15" s="5"/>
      <c r="W15" s="5"/>
      <c r="X15" s="5"/>
    </row>
    <row r="16" spans="1:24" x14ac:dyDescent="0.3">
      <c r="A16" s="2" t="s">
        <v>112</v>
      </c>
      <c r="B16" s="3" t="s">
        <v>27</v>
      </c>
      <c r="C16" s="3" t="s">
        <v>28</v>
      </c>
      <c r="D16" s="3" t="s">
        <v>29</v>
      </c>
      <c r="E16" s="4">
        <v>3897155229.4499998</v>
      </c>
      <c r="F16" s="4">
        <v>3897155229.4499998</v>
      </c>
      <c r="G16" s="3"/>
      <c r="H16" s="3"/>
      <c r="I16" s="3" t="s">
        <v>98</v>
      </c>
      <c r="J16" s="3" t="s">
        <v>113</v>
      </c>
      <c r="K16" s="3" t="s">
        <v>114</v>
      </c>
      <c r="L16" s="3" t="s">
        <v>115</v>
      </c>
      <c r="M16" s="3" t="s">
        <v>34</v>
      </c>
      <c r="N16" s="3" t="s">
        <v>35</v>
      </c>
      <c r="O16" s="3" t="s">
        <v>36</v>
      </c>
      <c r="P16" s="5"/>
      <c r="Q16" s="5"/>
      <c r="R16" s="5"/>
      <c r="S16" s="5"/>
      <c r="T16" s="6"/>
      <c r="U16" s="7" t="str">
        <f t="shared" si="0"/>
        <v/>
      </c>
      <c r="V16" s="5"/>
      <c r="W16" s="5"/>
      <c r="X16" s="5"/>
    </row>
    <row r="17" spans="1:24" x14ac:dyDescent="0.3">
      <c r="A17" s="2" t="s">
        <v>116</v>
      </c>
      <c r="B17" s="3" t="s">
        <v>27</v>
      </c>
      <c r="C17" s="3" t="s">
        <v>86</v>
      </c>
      <c r="D17" s="3" t="s">
        <v>87</v>
      </c>
      <c r="E17" s="4">
        <v>4070494253.0300002</v>
      </c>
      <c r="F17" s="4">
        <v>4070494253.0300002</v>
      </c>
      <c r="G17" s="3"/>
      <c r="H17" s="3"/>
      <c r="I17" s="3" t="s">
        <v>81</v>
      </c>
      <c r="J17" s="3" t="s">
        <v>117</v>
      </c>
      <c r="K17" s="3" t="s">
        <v>118</v>
      </c>
      <c r="L17" s="3" t="s">
        <v>119</v>
      </c>
      <c r="M17" s="3" t="s">
        <v>34</v>
      </c>
      <c r="N17" s="3" t="s">
        <v>35</v>
      </c>
      <c r="O17" s="3" t="s">
        <v>36</v>
      </c>
      <c r="P17" s="5"/>
      <c r="Q17" s="5"/>
      <c r="R17" s="5"/>
      <c r="S17" s="5"/>
      <c r="T17" s="6"/>
      <c r="U17" s="7" t="str">
        <f t="shared" si="0"/>
        <v/>
      </c>
      <c r="V17" s="5"/>
      <c r="W17" s="5"/>
      <c r="X17" s="5"/>
    </row>
    <row r="18" spans="1:24" x14ac:dyDescent="0.3">
      <c r="A18" s="2" t="s">
        <v>120</v>
      </c>
      <c r="B18" s="3" t="s">
        <v>27</v>
      </c>
      <c r="C18" s="3" t="s">
        <v>51</v>
      </c>
      <c r="D18" s="3" t="s">
        <v>121</v>
      </c>
      <c r="E18" s="4">
        <v>4374743786.4399996</v>
      </c>
      <c r="F18" s="4">
        <v>4374743786.4399996</v>
      </c>
      <c r="G18" s="3"/>
      <c r="H18" s="3"/>
      <c r="I18" s="3" t="s">
        <v>122</v>
      </c>
      <c r="J18" s="3" t="s">
        <v>123</v>
      </c>
      <c r="K18" s="3" t="s">
        <v>124</v>
      </c>
      <c r="L18" s="3" t="s">
        <v>125</v>
      </c>
      <c r="M18" s="3" t="s">
        <v>34</v>
      </c>
      <c r="N18" s="3" t="s">
        <v>35</v>
      </c>
      <c r="O18" s="3" t="s">
        <v>36</v>
      </c>
      <c r="P18" s="5"/>
      <c r="Q18" s="5"/>
      <c r="R18" s="5"/>
      <c r="S18" s="5"/>
      <c r="T18" s="6"/>
      <c r="U18" s="7" t="str">
        <f t="shared" si="0"/>
        <v/>
      </c>
      <c r="V18" s="5"/>
      <c r="W18" s="5"/>
      <c r="X18" s="5"/>
    </row>
    <row r="19" spans="1:24" x14ac:dyDescent="0.3">
      <c r="A19" s="2" t="s">
        <v>126</v>
      </c>
      <c r="B19" s="3" t="s">
        <v>27</v>
      </c>
      <c r="C19" s="3" t="s">
        <v>51</v>
      </c>
      <c r="D19" s="3" t="s">
        <v>52</v>
      </c>
      <c r="E19" s="4">
        <v>7568630142.2399998</v>
      </c>
      <c r="F19" s="4">
        <v>7568630142.2399998</v>
      </c>
      <c r="G19" s="3"/>
      <c r="H19" s="3"/>
      <c r="I19" s="3" t="s">
        <v>127</v>
      </c>
      <c r="J19" s="3" t="s">
        <v>128</v>
      </c>
      <c r="K19" s="3" t="s">
        <v>129</v>
      </c>
      <c r="L19" s="3" t="s">
        <v>130</v>
      </c>
      <c r="M19" s="3" t="s">
        <v>34</v>
      </c>
      <c r="N19" s="3" t="s">
        <v>35</v>
      </c>
      <c r="O19" s="3" t="s">
        <v>36</v>
      </c>
      <c r="P19" s="5"/>
      <c r="Q19" s="5"/>
      <c r="R19" s="5"/>
      <c r="S19" s="5"/>
      <c r="T19" s="6"/>
      <c r="U19" s="7" t="str">
        <f t="shared" si="0"/>
        <v/>
      </c>
      <c r="V19" s="5"/>
      <c r="W19" s="5"/>
      <c r="X19" s="5"/>
    </row>
    <row r="20" spans="1:24" x14ac:dyDescent="0.3">
      <c r="A20" s="2" t="s">
        <v>131</v>
      </c>
      <c r="B20" s="3" t="s">
        <v>65</v>
      </c>
      <c r="C20" s="3" t="s">
        <v>28</v>
      </c>
      <c r="D20" s="3" t="s">
        <v>29</v>
      </c>
      <c r="E20" s="4">
        <v>8300000000</v>
      </c>
      <c r="F20" s="4">
        <v>8300000000</v>
      </c>
      <c r="G20" s="3"/>
      <c r="H20" s="3"/>
      <c r="I20" s="3"/>
      <c r="J20" s="3" t="s">
        <v>132</v>
      </c>
      <c r="K20" s="3" t="s">
        <v>133</v>
      </c>
      <c r="L20" s="3" t="s">
        <v>134</v>
      </c>
      <c r="M20" s="3" t="s">
        <v>34</v>
      </c>
      <c r="N20" s="3" t="s">
        <v>35</v>
      </c>
      <c r="O20" s="3" t="s">
        <v>36</v>
      </c>
      <c r="P20" s="5"/>
      <c r="Q20" s="5"/>
      <c r="R20" s="5"/>
      <c r="S20" s="5"/>
      <c r="T20" s="6"/>
      <c r="U20" s="7" t="str">
        <f t="shared" si="0"/>
        <v/>
      </c>
      <c r="V20" s="5"/>
      <c r="W20" s="5"/>
      <c r="X20" s="5" t="s">
        <v>135</v>
      </c>
    </row>
    <row r="21" spans="1:24" x14ac:dyDescent="0.3">
      <c r="A21" s="2" t="s">
        <v>136</v>
      </c>
      <c r="B21" s="3" t="s">
        <v>27</v>
      </c>
      <c r="C21" s="3" t="s">
        <v>28</v>
      </c>
      <c r="D21" s="3" t="s">
        <v>29</v>
      </c>
      <c r="E21" s="4">
        <v>9287550097</v>
      </c>
      <c r="F21" s="4">
        <v>9287550097</v>
      </c>
      <c r="G21" s="3"/>
      <c r="H21" s="3"/>
      <c r="I21" s="3" t="s">
        <v>137</v>
      </c>
      <c r="J21" s="3" t="s">
        <v>138</v>
      </c>
      <c r="K21" s="3" t="s">
        <v>139</v>
      </c>
      <c r="L21" s="3" t="s">
        <v>140</v>
      </c>
      <c r="M21" s="3" t="s">
        <v>34</v>
      </c>
      <c r="N21" s="3" t="s">
        <v>35</v>
      </c>
      <c r="O21" s="3" t="s">
        <v>36</v>
      </c>
      <c r="P21" s="5"/>
      <c r="Q21" s="5"/>
      <c r="R21" s="5"/>
      <c r="S21" s="5"/>
      <c r="T21" s="6"/>
      <c r="U21" s="7" t="str">
        <f t="shared" si="0"/>
        <v/>
      </c>
      <c r="V21" s="5"/>
      <c r="W21" s="5"/>
      <c r="X21" s="5"/>
    </row>
    <row r="22" spans="1:24" x14ac:dyDescent="0.3">
      <c r="A22" s="2" t="s">
        <v>141</v>
      </c>
      <c r="B22" s="3" t="s">
        <v>65</v>
      </c>
      <c r="C22" s="3" t="s">
        <v>38</v>
      </c>
      <c r="D22" s="3" t="s">
        <v>39</v>
      </c>
      <c r="E22" s="4">
        <v>10500000000</v>
      </c>
      <c r="F22" s="4">
        <v>10500000000</v>
      </c>
      <c r="G22" s="3"/>
      <c r="H22" s="3"/>
      <c r="I22" s="3"/>
      <c r="J22" s="3" t="s">
        <v>142</v>
      </c>
      <c r="K22" s="3" t="s">
        <v>143</v>
      </c>
      <c r="L22" s="3" t="s">
        <v>144</v>
      </c>
      <c r="M22" s="3" t="s">
        <v>34</v>
      </c>
      <c r="N22" s="3" t="s">
        <v>35</v>
      </c>
      <c r="O22" s="3" t="s">
        <v>36</v>
      </c>
      <c r="P22" s="5"/>
      <c r="Q22" s="5"/>
      <c r="R22" s="5"/>
      <c r="S22" s="5"/>
      <c r="T22" s="6"/>
      <c r="U22" s="7" t="str">
        <f t="shared" si="0"/>
        <v/>
      </c>
      <c r="V22" s="5"/>
      <c r="W22" s="5"/>
      <c r="X22" s="5" t="s">
        <v>145</v>
      </c>
    </row>
    <row r="23" spans="1:24" x14ac:dyDescent="0.3">
      <c r="A23" s="2" t="s">
        <v>146</v>
      </c>
      <c r="B23" s="3" t="s">
        <v>147</v>
      </c>
      <c r="C23" s="3" t="s">
        <v>28</v>
      </c>
      <c r="D23" s="3" t="s">
        <v>29</v>
      </c>
      <c r="E23" s="4">
        <v>14444051180.15</v>
      </c>
      <c r="F23" s="4">
        <v>14444051180.15</v>
      </c>
      <c r="G23" s="8" t="s">
        <v>53</v>
      </c>
      <c r="H23" s="3" t="s">
        <v>148</v>
      </c>
      <c r="I23" s="3" t="s">
        <v>149</v>
      </c>
      <c r="J23" s="3" t="s">
        <v>150</v>
      </c>
      <c r="K23" s="3" t="s">
        <v>151</v>
      </c>
      <c r="L23" s="3" t="s">
        <v>152</v>
      </c>
      <c r="M23" s="3" t="s">
        <v>34</v>
      </c>
      <c r="N23" s="3" t="s">
        <v>35</v>
      </c>
      <c r="O23" s="3" t="s">
        <v>36</v>
      </c>
      <c r="P23" s="5"/>
      <c r="Q23" s="5"/>
      <c r="R23" s="5"/>
      <c r="S23" s="5"/>
      <c r="T23" s="6"/>
      <c r="U23" s="7" t="str">
        <f t="shared" si="0"/>
        <v/>
      </c>
      <c r="V23" s="5"/>
      <c r="W23" s="5"/>
      <c r="X23" s="5"/>
    </row>
  </sheetData>
  <autoFilter ref="A1:X23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1FC0EF"/>
  </sheetPr>
  <dimension ref="A1:X2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46" customWidth="1"/>
    <col min="2" max="2" width="26" customWidth="1"/>
    <col min="3" max="3" width="5" customWidth="1"/>
    <col min="4" max="4" width="15" customWidth="1"/>
    <col min="5" max="6" width="16" customWidth="1"/>
    <col min="7" max="7" width="15" customWidth="1"/>
    <col min="8" max="8" width="10" customWidth="1"/>
    <col min="9" max="9" width="9" customWidth="1"/>
    <col min="10" max="10" width="14" customWidth="1"/>
    <col min="11" max="11" width="30" customWidth="1"/>
    <col min="12" max="12" width="24" customWidth="1"/>
    <col min="13" max="13" width="52" customWidth="1"/>
    <col min="14" max="14" width="40" customWidth="1"/>
    <col min="15" max="15" width="26" customWidth="1"/>
    <col min="16" max="16" width="18" customWidth="1"/>
    <col min="17" max="17" width="14" customWidth="1"/>
    <col min="18" max="18" width="24" customWidth="1"/>
    <col min="19" max="19" width="14" customWidth="1"/>
    <col min="20" max="21" width="12" customWidth="1"/>
    <col min="22" max="22" width="16" customWidth="1"/>
    <col min="23" max="23" width="18" customWidth="1"/>
    <col min="24" max="24" width="28" customWidth="1"/>
  </cols>
  <sheetData>
    <row r="1" spans="1:24" x14ac:dyDescent="0.3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</row>
    <row r="2" spans="1:24" x14ac:dyDescent="0.3">
      <c r="A2" s="2" t="s">
        <v>154</v>
      </c>
      <c r="B2" s="3" t="s">
        <v>155</v>
      </c>
      <c r="C2" s="3" t="s">
        <v>28</v>
      </c>
      <c r="D2" s="3" t="s">
        <v>29</v>
      </c>
      <c r="E2" s="4">
        <v>738491092.96000004</v>
      </c>
      <c r="F2" s="4">
        <v>738491092.96000004</v>
      </c>
      <c r="G2" s="8" t="s">
        <v>156</v>
      </c>
      <c r="H2" s="3"/>
      <c r="I2" s="3" t="s">
        <v>157</v>
      </c>
      <c r="J2" s="3" t="s">
        <v>158</v>
      </c>
      <c r="K2" s="3" t="s">
        <v>159</v>
      </c>
      <c r="L2" s="3" t="s">
        <v>160</v>
      </c>
      <c r="M2" s="3" t="s">
        <v>161</v>
      </c>
      <c r="N2" s="3" t="s">
        <v>162</v>
      </c>
      <c r="O2" s="3" t="s">
        <v>163</v>
      </c>
      <c r="P2" s="5"/>
      <c r="Q2" s="5"/>
      <c r="R2" s="5"/>
      <c r="S2" s="5"/>
      <c r="T2" s="6"/>
      <c r="U2" s="7" t="str">
        <f>IF(T2="","",WORKDAY(T2,5))</f>
        <v/>
      </c>
      <c r="V2" s="5"/>
      <c r="W2" s="5"/>
      <c r="X2" s="5"/>
    </row>
  </sheetData>
  <autoFilter ref="A1:X2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1FC0EF"/>
  </sheetPr>
  <dimension ref="A1:X2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46" customWidth="1"/>
    <col min="2" max="2" width="26" customWidth="1"/>
    <col min="3" max="3" width="5" customWidth="1"/>
    <col min="4" max="4" width="15" customWidth="1"/>
    <col min="5" max="6" width="16" customWidth="1"/>
    <col min="7" max="7" width="15" customWidth="1"/>
    <col min="8" max="8" width="10" customWidth="1"/>
    <col min="9" max="9" width="9" customWidth="1"/>
    <col min="10" max="10" width="14" customWidth="1"/>
    <col min="11" max="11" width="30" customWidth="1"/>
    <col min="12" max="12" width="24" customWidth="1"/>
    <col min="13" max="13" width="52" customWidth="1"/>
    <col min="14" max="14" width="40" customWidth="1"/>
    <col min="15" max="15" width="26" customWidth="1"/>
    <col min="16" max="16" width="18" customWidth="1"/>
    <col min="17" max="17" width="14" customWidth="1"/>
    <col min="18" max="18" width="24" customWidth="1"/>
    <col min="19" max="19" width="14" customWidth="1"/>
    <col min="20" max="21" width="12" customWidth="1"/>
    <col min="22" max="22" width="16" customWidth="1"/>
    <col min="23" max="23" width="18" customWidth="1"/>
    <col min="24" max="24" width="28" customWidth="1"/>
  </cols>
  <sheetData>
    <row r="1" spans="1:24" x14ac:dyDescent="0.3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</row>
    <row r="2" spans="1:24" x14ac:dyDescent="0.3">
      <c r="A2" s="2" t="s">
        <v>165</v>
      </c>
      <c r="B2" s="3" t="s">
        <v>166</v>
      </c>
      <c r="C2" s="3" t="s">
        <v>28</v>
      </c>
      <c r="D2" s="3" t="s">
        <v>29</v>
      </c>
      <c r="E2" s="4">
        <v>2690000000</v>
      </c>
      <c r="F2" s="4">
        <v>2690000000</v>
      </c>
      <c r="G2" s="3"/>
      <c r="H2" s="3"/>
      <c r="I2" s="3"/>
      <c r="J2" s="3" t="s">
        <v>167</v>
      </c>
      <c r="K2" s="3" t="s">
        <v>168</v>
      </c>
      <c r="L2" s="3" t="s">
        <v>169</v>
      </c>
      <c r="M2" s="3" t="s">
        <v>170</v>
      </c>
      <c r="N2" s="3" t="s">
        <v>171</v>
      </c>
      <c r="O2" s="3" t="s">
        <v>172</v>
      </c>
      <c r="P2" s="5"/>
      <c r="Q2" s="5"/>
      <c r="R2" s="5"/>
      <c r="S2" s="5"/>
      <c r="T2" s="6"/>
      <c r="U2" s="7" t="str">
        <f>IF(T2="","",WORKDAY(T2,5))</f>
        <v/>
      </c>
      <c r="V2" s="5"/>
      <c r="W2" s="5"/>
      <c r="X2" s="5" t="s">
        <v>173</v>
      </c>
    </row>
  </sheetData>
  <autoFilter ref="A1:X2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C0504D"/>
  </sheetPr>
  <dimension ref="A1:X44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46" customWidth="1"/>
    <col min="2" max="2" width="26" customWidth="1"/>
    <col min="3" max="3" width="5" customWidth="1"/>
    <col min="4" max="4" width="15" customWidth="1"/>
    <col min="5" max="6" width="16" customWidth="1"/>
    <col min="7" max="7" width="15" customWidth="1"/>
    <col min="8" max="8" width="10" customWidth="1"/>
    <col min="9" max="9" width="9" customWidth="1"/>
    <col min="10" max="10" width="14" customWidth="1"/>
    <col min="11" max="11" width="30" customWidth="1"/>
    <col min="12" max="12" width="24" customWidth="1"/>
    <col min="13" max="13" width="52" customWidth="1"/>
    <col min="14" max="14" width="40" customWidth="1"/>
    <col min="15" max="15" width="26" customWidth="1"/>
    <col min="16" max="16" width="18" customWidth="1"/>
    <col min="17" max="17" width="14" customWidth="1"/>
    <col min="18" max="18" width="24" customWidth="1"/>
    <col min="19" max="19" width="14" customWidth="1"/>
    <col min="20" max="21" width="12" customWidth="1"/>
    <col min="22" max="22" width="16" customWidth="1"/>
    <col min="23" max="23" width="18" customWidth="1"/>
    <col min="24" max="24" width="28" customWidth="1"/>
  </cols>
  <sheetData>
    <row r="1" spans="1:24" x14ac:dyDescent="0.3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</row>
    <row r="2" spans="1:24" x14ac:dyDescent="0.3">
      <c r="A2" s="2" t="s">
        <v>175</v>
      </c>
      <c r="B2" s="3" t="s">
        <v>176</v>
      </c>
      <c r="C2" s="3" t="s">
        <v>28</v>
      </c>
      <c r="D2" s="3" t="s">
        <v>29</v>
      </c>
      <c r="E2" s="4">
        <v>1215163.51</v>
      </c>
      <c r="F2" s="4">
        <v>1215163.51</v>
      </c>
      <c r="G2" s="8" t="s">
        <v>177</v>
      </c>
      <c r="H2" s="3" t="s">
        <v>148</v>
      </c>
      <c r="I2" s="3" t="s">
        <v>122</v>
      </c>
      <c r="J2" s="3" t="s">
        <v>178</v>
      </c>
      <c r="K2" s="3" t="s">
        <v>179</v>
      </c>
      <c r="L2" s="3" t="s">
        <v>180</v>
      </c>
      <c r="M2" s="3" t="s">
        <v>181</v>
      </c>
      <c r="N2" s="3" t="s">
        <v>182</v>
      </c>
      <c r="O2" s="3" t="s">
        <v>183</v>
      </c>
      <c r="P2" s="5"/>
      <c r="Q2" s="5"/>
      <c r="R2" s="5"/>
      <c r="S2" s="5"/>
      <c r="T2" s="6"/>
      <c r="U2" s="7" t="str">
        <f t="shared" ref="U2:U44" si="0">IF(T2="","",WORKDAY(T2,5))</f>
        <v/>
      </c>
      <c r="V2" s="5"/>
      <c r="W2" s="5"/>
      <c r="X2" s="5"/>
    </row>
    <row r="3" spans="1:24" x14ac:dyDescent="0.3">
      <c r="A3" s="2" t="s">
        <v>184</v>
      </c>
      <c r="B3" s="3" t="s">
        <v>176</v>
      </c>
      <c r="C3" s="3" t="s">
        <v>28</v>
      </c>
      <c r="D3" s="3" t="s">
        <v>29</v>
      </c>
      <c r="E3" s="4">
        <v>1289426.19</v>
      </c>
      <c r="F3" s="4">
        <v>1289426.19</v>
      </c>
      <c r="G3" s="3"/>
      <c r="H3" s="3"/>
      <c r="I3" s="3" t="s">
        <v>185</v>
      </c>
      <c r="J3" s="3" t="s">
        <v>186</v>
      </c>
      <c r="K3" s="3" t="s">
        <v>187</v>
      </c>
      <c r="L3" s="3" t="s">
        <v>188</v>
      </c>
      <c r="M3" s="3" t="s">
        <v>181</v>
      </c>
      <c r="N3" s="3" t="s">
        <v>182</v>
      </c>
      <c r="O3" s="3" t="s">
        <v>183</v>
      </c>
      <c r="P3" s="5"/>
      <c r="Q3" s="5"/>
      <c r="R3" s="5"/>
      <c r="S3" s="5"/>
      <c r="T3" s="6"/>
      <c r="U3" s="7" t="str">
        <f t="shared" si="0"/>
        <v/>
      </c>
      <c r="V3" s="5"/>
      <c r="W3" s="5"/>
      <c r="X3" s="5"/>
    </row>
    <row r="4" spans="1:24" x14ac:dyDescent="0.3">
      <c r="A4" s="2" t="s">
        <v>189</v>
      </c>
      <c r="B4" s="3" t="s">
        <v>176</v>
      </c>
      <c r="C4" s="3" t="s">
        <v>28</v>
      </c>
      <c r="D4" s="3" t="s">
        <v>190</v>
      </c>
      <c r="E4" s="4">
        <v>1309812.52</v>
      </c>
      <c r="F4" s="4">
        <v>1309812.52</v>
      </c>
      <c r="G4" s="8" t="s">
        <v>191</v>
      </c>
      <c r="H4" s="3"/>
      <c r="I4" s="3" t="s">
        <v>127</v>
      </c>
      <c r="J4" s="3" t="s">
        <v>192</v>
      </c>
      <c r="K4" s="3" t="s">
        <v>193</v>
      </c>
      <c r="L4" s="3" t="s">
        <v>194</v>
      </c>
      <c r="M4" s="3" t="s">
        <v>181</v>
      </c>
      <c r="N4" s="3" t="s">
        <v>182</v>
      </c>
      <c r="O4" s="3" t="s">
        <v>183</v>
      </c>
      <c r="P4" s="5"/>
      <c r="Q4" s="5"/>
      <c r="R4" s="5"/>
      <c r="S4" s="5"/>
      <c r="T4" s="6"/>
      <c r="U4" s="7" t="str">
        <f t="shared" si="0"/>
        <v/>
      </c>
      <c r="V4" s="5"/>
      <c r="W4" s="5"/>
      <c r="X4" s="5"/>
    </row>
    <row r="5" spans="1:24" x14ac:dyDescent="0.3">
      <c r="A5" s="2" t="s">
        <v>195</v>
      </c>
      <c r="B5" s="3" t="s">
        <v>176</v>
      </c>
      <c r="C5" s="3" t="s">
        <v>28</v>
      </c>
      <c r="D5" s="3" t="s">
        <v>29</v>
      </c>
      <c r="E5" s="4">
        <v>1630706.61</v>
      </c>
      <c r="F5" s="4">
        <v>1630706.61</v>
      </c>
      <c r="G5" s="8" t="s">
        <v>196</v>
      </c>
      <c r="H5" s="3"/>
      <c r="I5" s="3" t="s">
        <v>197</v>
      </c>
      <c r="J5" s="3" t="s">
        <v>198</v>
      </c>
      <c r="K5" s="3" t="s">
        <v>199</v>
      </c>
      <c r="L5" s="3" t="s">
        <v>200</v>
      </c>
      <c r="M5" s="3" t="s">
        <v>181</v>
      </c>
      <c r="N5" s="3" t="s">
        <v>182</v>
      </c>
      <c r="O5" s="3" t="s">
        <v>183</v>
      </c>
      <c r="P5" s="5"/>
      <c r="Q5" s="5"/>
      <c r="R5" s="5"/>
      <c r="S5" s="5"/>
      <c r="T5" s="6"/>
      <c r="U5" s="7" t="str">
        <f t="shared" si="0"/>
        <v/>
      </c>
      <c r="V5" s="5"/>
      <c r="W5" s="5"/>
      <c r="X5" s="5"/>
    </row>
    <row r="6" spans="1:24" x14ac:dyDescent="0.3">
      <c r="A6" s="2" t="s">
        <v>201</v>
      </c>
      <c r="B6" s="3" t="s">
        <v>176</v>
      </c>
      <c r="C6" s="3" t="s">
        <v>28</v>
      </c>
      <c r="D6" s="3" t="s">
        <v>29</v>
      </c>
      <c r="E6" s="4">
        <v>2178618.7799999998</v>
      </c>
      <c r="F6" s="4">
        <v>2178618.7799999998</v>
      </c>
      <c r="G6" s="8" t="s">
        <v>202</v>
      </c>
      <c r="H6" s="3"/>
      <c r="I6" s="3" t="s">
        <v>203</v>
      </c>
      <c r="J6" s="3" t="s">
        <v>204</v>
      </c>
      <c r="K6" s="3" t="s">
        <v>205</v>
      </c>
      <c r="L6" s="3"/>
      <c r="M6" s="3" t="s">
        <v>181</v>
      </c>
      <c r="N6" s="3" t="s">
        <v>182</v>
      </c>
      <c r="O6" s="3" t="s">
        <v>183</v>
      </c>
      <c r="P6" s="5"/>
      <c r="Q6" s="5"/>
      <c r="R6" s="5"/>
      <c r="S6" s="5"/>
      <c r="T6" s="6"/>
      <c r="U6" s="7" t="str">
        <f t="shared" si="0"/>
        <v/>
      </c>
      <c r="V6" s="5"/>
      <c r="W6" s="5"/>
      <c r="X6" s="5"/>
    </row>
    <row r="7" spans="1:24" x14ac:dyDescent="0.3">
      <c r="A7" s="2" t="s">
        <v>206</v>
      </c>
      <c r="B7" s="3" t="s">
        <v>176</v>
      </c>
      <c r="C7" s="3" t="s">
        <v>38</v>
      </c>
      <c r="D7" s="3" t="s">
        <v>39</v>
      </c>
      <c r="E7" s="4">
        <v>2648255.0299999998</v>
      </c>
      <c r="F7" s="4">
        <v>2648255.0299999998</v>
      </c>
      <c r="G7" s="3"/>
      <c r="H7" s="3"/>
      <c r="I7" s="3" t="s">
        <v>203</v>
      </c>
      <c r="J7" s="3" t="s">
        <v>207</v>
      </c>
      <c r="K7" s="3" t="s">
        <v>208</v>
      </c>
      <c r="L7" s="3" t="s">
        <v>209</v>
      </c>
      <c r="M7" s="3" t="s">
        <v>181</v>
      </c>
      <c r="N7" s="3" t="s">
        <v>182</v>
      </c>
      <c r="O7" s="3" t="s">
        <v>183</v>
      </c>
      <c r="P7" s="5"/>
      <c r="Q7" s="5"/>
      <c r="R7" s="5"/>
      <c r="S7" s="5"/>
      <c r="T7" s="6"/>
      <c r="U7" s="7" t="str">
        <f t="shared" si="0"/>
        <v/>
      </c>
      <c r="V7" s="5"/>
      <c r="W7" s="5"/>
      <c r="X7" s="5"/>
    </row>
    <row r="8" spans="1:24" x14ac:dyDescent="0.3">
      <c r="A8" s="2" t="s">
        <v>210</v>
      </c>
      <c r="B8" s="3" t="s">
        <v>176</v>
      </c>
      <c r="C8" s="3" t="s">
        <v>28</v>
      </c>
      <c r="D8" s="3" t="s">
        <v>29</v>
      </c>
      <c r="E8" s="4">
        <v>3419110.2</v>
      </c>
      <c r="F8" s="4">
        <v>3419110.2</v>
      </c>
      <c r="G8" s="8" t="s">
        <v>211</v>
      </c>
      <c r="H8" s="3" t="s">
        <v>148</v>
      </c>
      <c r="I8" s="3" t="s">
        <v>212</v>
      </c>
      <c r="J8" s="3" t="s">
        <v>213</v>
      </c>
      <c r="K8" s="3" t="s">
        <v>214</v>
      </c>
      <c r="L8" s="3" t="s">
        <v>215</v>
      </c>
      <c r="M8" s="3" t="s">
        <v>181</v>
      </c>
      <c r="N8" s="3" t="s">
        <v>182</v>
      </c>
      <c r="O8" s="3" t="s">
        <v>183</v>
      </c>
      <c r="P8" s="5"/>
      <c r="Q8" s="5"/>
      <c r="R8" s="5"/>
      <c r="S8" s="5"/>
      <c r="T8" s="6"/>
      <c r="U8" s="7" t="str">
        <f t="shared" si="0"/>
        <v/>
      </c>
      <c r="V8" s="5"/>
      <c r="W8" s="5"/>
      <c r="X8" s="5"/>
    </row>
    <row r="9" spans="1:24" x14ac:dyDescent="0.3">
      <c r="A9" s="2" t="s">
        <v>216</v>
      </c>
      <c r="B9" s="3" t="s">
        <v>176</v>
      </c>
      <c r="C9" s="3" t="s">
        <v>28</v>
      </c>
      <c r="D9" s="3" t="s">
        <v>29</v>
      </c>
      <c r="E9" s="4">
        <v>4667736.5599999996</v>
      </c>
      <c r="F9" s="4">
        <v>4667736.5599999996</v>
      </c>
      <c r="G9" s="8" t="s">
        <v>217</v>
      </c>
      <c r="H9" s="3"/>
      <c r="I9" s="3" t="s">
        <v>218</v>
      </c>
      <c r="J9" s="3" t="s">
        <v>219</v>
      </c>
      <c r="K9" s="3" t="s">
        <v>220</v>
      </c>
      <c r="L9" s="3" t="s">
        <v>221</v>
      </c>
      <c r="M9" s="3" t="s">
        <v>181</v>
      </c>
      <c r="N9" s="3" t="s">
        <v>182</v>
      </c>
      <c r="O9" s="3" t="s">
        <v>183</v>
      </c>
      <c r="P9" s="5"/>
      <c r="Q9" s="5"/>
      <c r="R9" s="5"/>
      <c r="S9" s="5"/>
      <c r="T9" s="6"/>
      <c r="U9" s="7" t="str">
        <f t="shared" si="0"/>
        <v/>
      </c>
      <c r="V9" s="5"/>
      <c r="W9" s="5"/>
      <c r="X9" s="5"/>
    </row>
    <row r="10" spans="1:24" x14ac:dyDescent="0.3">
      <c r="A10" s="2" t="s">
        <v>222</v>
      </c>
      <c r="B10" s="3" t="s">
        <v>176</v>
      </c>
      <c r="C10" s="3" t="s">
        <v>28</v>
      </c>
      <c r="D10" s="3" t="s">
        <v>29</v>
      </c>
      <c r="E10" s="4">
        <v>4994418.17</v>
      </c>
      <c r="F10" s="4">
        <v>4994418.17</v>
      </c>
      <c r="G10" s="3"/>
      <c r="H10" s="3"/>
      <c r="I10" s="3" t="s">
        <v>223</v>
      </c>
      <c r="J10" s="3" t="s">
        <v>224</v>
      </c>
      <c r="K10" s="3" t="s">
        <v>225</v>
      </c>
      <c r="L10" s="3" t="s">
        <v>226</v>
      </c>
      <c r="M10" s="3" t="s">
        <v>181</v>
      </c>
      <c r="N10" s="3" t="s">
        <v>182</v>
      </c>
      <c r="O10" s="3" t="s">
        <v>183</v>
      </c>
      <c r="P10" s="5"/>
      <c r="Q10" s="5"/>
      <c r="R10" s="5"/>
      <c r="S10" s="5"/>
      <c r="T10" s="6"/>
      <c r="U10" s="7" t="str">
        <f t="shared" si="0"/>
        <v/>
      </c>
      <c r="V10" s="5"/>
      <c r="W10" s="5"/>
      <c r="X10" s="5"/>
    </row>
    <row r="11" spans="1:24" x14ac:dyDescent="0.3">
      <c r="A11" s="2" t="s">
        <v>227</v>
      </c>
      <c r="B11" s="3" t="s">
        <v>176</v>
      </c>
      <c r="C11" s="3" t="s">
        <v>28</v>
      </c>
      <c r="D11" s="3" t="s">
        <v>29</v>
      </c>
      <c r="E11" s="4">
        <v>5485614.21</v>
      </c>
      <c r="F11" s="4">
        <v>5485614.21</v>
      </c>
      <c r="G11" s="8" t="s">
        <v>228</v>
      </c>
      <c r="H11" s="3" t="s">
        <v>148</v>
      </c>
      <c r="I11" s="3" t="s">
        <v>122</v>
      </c>
      <c r="J11" s="3" t="s">
        <v>229</v>
      </c>
      <c r="K11" s="3" t="s">
        <v>230</v>
      </c>
      <c r="L11" s="3" t="s">
        <v>231</v>
      </c>
      <c r="M11" s="3" t="s">
        <v>181</v>
      </c>
      <c r="N11" s="3" t="s">
        <v>182</v>
      </c>
      <c r="O11" s="3" t="s">
        <v>183</v>
      </c>
      <c r="P11" s="5"/>
      <c r="Q11" s="5"/>
      <c r="R11" s="5"/>
      <c r="S11" s="5"/>
      <c r="T11" s="6"/>
      <c r="U11" s="7" t="str">
        <f t="shared" si="0"/>
        <v/>
      </c>
      <c r="V11" s="5"/>
      <c r="W11" s="5"/>
      <c r="X11" s="5"/>
    </row>
    <row r="12" spans="1:24" x14ac:dyDescent="0.3">
      <c r="A12" s="2" t="s">
        <v>232</v>
      </c>
      <c r="B12" s="3" t="s">
        <v>176</v>
      </c>
      <c r="C12" s="3" t="s">
        <v>28</v>
      </c>
      <c r="D12" s="3" t="s">
        <v>29</v>
      </c>
      <c r="E12" s="4">
        <v>5769058.7400000002</v>
      </c>
      <c r="F12" s="4">
        <v>5769058.7400000002</v>
      </c>
      <c r="G12" s="8" t="s">
        <v>233</v>
      </c>
      <c r="H12" s="3"/>
      <c r="I12" s="3" t="s">
        <v>234</v>
      </c>
      <c r="J12" s="3" t="s">
        <v>235</v>
      </c>
      <c r="K12" s="3" t="s">
        <v>236</v>
      </c>
      <c r="L12" s="3"/>
      <c r="M12" s="3" t="s">
        <v>181</v>
      </c>
      <c r="N12" s="3" t="s">
        <v>182</v>
      </c>
      <c r="O12" s="3" t="s">
        <v>183</v>
      </c>
      <c r="P12" s="5"/>
      <c r="Q12" s="5"/>
      <c r="R12" s="5"/>
      <c r="S12" s="5"/>
      <c r="T12" s="6"/>
      <c r="U12" s="7" t="str">
        <f t="shared" si="0"/>
        <v/>
      </c>
      <c r="V12" s="5"/>
      <c r="W12" s="5"/>
      <c r="X12" s="5"/>
    </row>
    <row r="13" spans="1:24" x14ac:dyDescent="0.3">
      <c r="A13" s="2" t="s">
        <v>237</v>
      </c>
      <c r="B13" s="3" t="s">
        <v>176</v>
      </c>
      <c r="C13" s="3" t="s">
        <v>28</v>
      </c>
      <c r="D13" s="3" t="s">
        <v>29</v>
      </c>
      <c r="E13" s="4">
        <v>6242771.9100000001</v>
      </c>
      <c r="F13" s="4">
        <v>6242771.9100000001</v>
      </c>
      <c r="G13" s="8" t="s">
        <v>191</v>
      </c>
      <c r="H13" s="3"/>
      <c r="I13" s="3" t="s">
        <v>197</v>
      </c>
      <c r="J13" s="3" t="s">
        <v>238</v>
      </c>
      <c r="K13" s="3" t="s">
        <v>239</v>
      </c>
      <c r="L13" s="3" t="s">
        <v>240</v>
      </c>
      <c r="M13" s="3" t="s">
        <v>181</v>
      </c>
      <c r="N13" s="3" t="s">
        <v>182</v>
      </c>
      <c r="O13" s="3" t="s">
        <v>183</v>
      </c>
      <c r="P13" s="5"/>
      <c r="Q13" s="5"/>
      <c r="R13" s="5"/>
      <c r="S13" s="5"/>
      <c r="T13" s="6"/>
      <c r="U13" s="7" t="str">
        <f t="shared" si="0"/>
        <v/>
      </c>
      <c r="V13" s="5"/>
      <c r="W13" s="5"/>
      <c r="X13" s="5"/>
    </row>
    <row r="14" spans="1:24" x14ac:dyDescent="0.3">
      <c r="A14" s="2" t="s">
        <v>241</v>
      </c>
      <c r="B14" s="3" t="s">
        <v>176</v>
      </c>
      <c r="C14" s="3" t="s">
        <v>28</v>
      </c>
      <c r="D14" s="3" t="s">
        <v>29</v>
      </c>
      <c r="E14" s="4">
        <v>8821711.3900000006</v>
      </c>
      <c r="F14" s="4">
        <v>8821711.3900000006</v>
      </c>
      <c r="G14" s="8" t="s">
        <v>242</v>
      </c>
      <c r="H14" s="3" t="s">
        <v>148</v>
      </c>
      <c r="I14" s="3" t="s">
        <v>243</v>
      </c>
      <c r="J14" s="3" t="s">
        <v>244</v>
      </c>
      <c r="K14" s="3" t="s">
        <v>245</v>
      </c>
      <c r="L14" s="3" t="s">
        <v>246</v>
      </c>
      <c r="M14" s="3" t="s">
        <v>181</v>
      </c>
      <c r="N14" s="3" t="s">
        <v>182</v>
      </c>
      <c r="O14" s="3" t="s">
        <v>183</v>
      </c>
      <c r="P14" s="5"/>
      <c r="Q14" s="5"/>
      <c r="R14" s="5"/>
      <c r="S14" s="5"/>
      <c r="T14" s="6"/>
      <c r="U14" s="7" t="str">
        <f t="shared" si="0"/>
        <v/>
      </c>
      <c r="V14" s="5"/>
      <c r="W14" s="5"/>
      <c r="X14" s="5"/>
    </row>
    <row r="15" spans="1:24" x14ac:dyDescent="0.3">
      <c r="A15" s="2" t="s">
        <v>247</v>
      </c>
      <c r="B15" s="3" t="s">
        <v>176</v>
      </c>
      <c r="C15" s="3" t="s">
        <v>44</v>
      </c>
      <c r="D15" s="3" t="s">
        <v>45</v>
      </c>
      <c r="E15" s="4">
        <v>10136090.16</v>
      </c>
      <c r="F15" s="4">
        <v>10136090.16</v>
      </c>
      <c r="G15" s="3"/>
      <c r="H15" s="3"/>
      <c r="I15" s="3" t="s">
        <v>122</v>
      </c>
      <c r="J15" s="3" t="s">
        <v>248</v>
      </c>
      <c r="K15" s="3" t="s">
        <v>249</v>
      </c>
      <c r="L15" s="3" t="s">
        <v>250</v>
      </c>
      <c r="M15" s="3" t="s">
        <v>181</v>
      </c>
      <c r="N15" s="3" t="s">
        <v>182</v>
      </c>
      <c r="O15" s="3" t="s">
        <v>183</v>
      </c>
      <c r="P15" s="5"/>
      <c r="Q15" s="5"/>
      <c r="R15" s="5"/>
      <c r="S15" s="5"/>
      <c r="T15" s="6"/>
      <c r="U15" s="7" t="str">
        <f t="shared" si="0"/>
        <v/>
      </c>
      <c r="V15" s="5"/>
      <c r="W15" s="5"/>
      <c r="X15" s="5"/>
    </row>
    <row r="16" spans="1:24" x14ac:dyDescent="0.3">
      <c r="A16" s="2" t="s">
        <v>251</v>
      </c>
      <c r="B16" s="3" t="s">
        <v>176</v>
      </c>
      <c r="C16" s="3" t="s">
        <v>28</v>
      </c>
      <c r="D16" s="3" t="s">
        <v>29</v>
      </c>
      <c r="E16" s="4">
        <v>14112603.52</v>
      </c>
      <c r="F16" s="4">
        <v>14112603.52</v>
      </c>
      <c r="G16" s="3"/>
      <c r="H16" s="3"/>
      <c r="I16" s="3" t="s">
        <v>252</v>
      </c>
      <c r="J16" s="3" t="s">
        <v>253</v>
      </c>
      <c r="K16" s="3" t="s">
        <v>254</v>
      </c>
      <c r="L16" s="3" t="s">
        <v>255</v>
      </c>
      <c r="M16" s="3" t="s">
        <v>181</v>
      </c>
      <c r="N16" s="3" t="s">
        <v>182</v>
      </c>
      <c r="O16" s="3" t="s">
        <v>183</v>
      </c>
      <c r="P16" s="5"/>
      <c r="Q16" s="5"/>
      <c r="R16" s="5"/>
      <c r="S16" s="5"/>
      <c r="T16" s="6"/>
      <c r="U16" s="7" t="str">
        <f t="shared" si="0"/>
        <v/>
      </c>
      <c r="V16" s="5"/>
      <c r="W16" s="5"/>
      <c r="X16" s="5"/>
    </row>
    <row r="17" spans="1:24" x14ac:dyDescent="0.3">
      <c r="A17" s="2" t="s">
        <v>256</v>
      </c>
      <c r="B17" s="3" t="s">
        <v>176</v>
      </c>
      <c r="C17" s="3" t="s">
        <v>28</v>
      </c>
      <c r="D17" s="3" t="s">
        <v>29</v>
      </c>
      <c r="E17" s="4">
        <v>18445353.539999999</v>
      </c>
      <c r="F17" s="4">
        <v>18445353.539999999</v>
      </c>
      <c r="G17" s="8" t="s">
        <v>257</v>
      </c>
      <c r="H17" s="3"/>
      <c r="I17" s="3" t="s">
        <v>258</v>
      </c>
      <c r="J17" s="3" t="s">
        <v>259</v>
      </c>
      <c r="K17" s="3" t="s">
        <v>260</v>
      </c>
      <c r="L17" s="3" t="s">
        <v>261</v>
      </c>
      <c r="M17" s="3" t="s">
        <v>181</v>
      </c>
      <c r="N17" s="3" t="s">
        <v>182</v>
      </c>
      <c r="O17" s="3" t="s">
        <v>183</v>
      </c>
      <c r="P17" s="5"/>
      <c r="Q17" s="5"/>
      <c r="R17" s="5"/>
      <c r="S17" s="5"/>
      <c r="T17" s="6"/>
      <c r="U17" s="7" t="str">
        <f t="shared" si="0"/>
        <v/>
      </c>
      <c r="V17" s="5"/>
      <c r="W17" s="5"/>
      <c r="X17" s="5"/>
    </row>
    <row r="18" spans="1:24" x14ac:dyDescent="0.3">
      <c r="A18" s="2" t="s">
        <v>262</v>
      </c>
      <c r="B18" s="3" t="s">
        <v>176</v>
      </c>
      <c r="C18" s="3" t="s">
        <v>28</v>
      </c>
      <c r="D18" s="3" t="s">
        <v>29</v>
      </c>
      <c r="E18" s="4">
        <v>18793036.77</v>
      </c>
      <c r="F18" s="4">
        <v>18793036.77</v>
      </c>
      <c r="G18" s="8" t="s">
        <v>263</v>
      </c>
      <c r="H18" s="3"/>
      <c r="I18" s="3" t="s">
        <v>197</v>
      </c>
      <c r="J18" s="3" t="s">
        <v>264</v>
      </c>
      <c r="K18" s="3" t="s">
        <v>265</v>
      </c>
      <c r="L18" s="3" t="s">
        <v>266</v>
      </c>
      <c r="M18" s="3" t="s">
        <v>181</v>
      </c>
      <c r="N18" s="3" t="s">
        <v>182</v>
      </c>
      <c r="O18" s="3" t="s">
        <v>183</v>
      </c>
      <c r="P18" s="5"/>
      <c r="Q18" s="5"/>
      <c r="R18" s="5"/>
      <c r="S18" s="5"/>
      <c r="T18" s="6"/>
      <c r="U18" s="7" t="str">
        <f t="shared" si="0"/>
        <v/>
      </c>
      <c r="V18" s="5"/>
      <c r="W18" s="5"/>
      <c r="X18" s="5"/>
    </row>
    <row r="19" spans="1:24" x14ac:dyDescent="0.3">
      <c r="A19" s="2" t="s">
        <v>267</v>
      </c>
      <c r="B19" s="3" t="s">
        <v>176</v>
      </c>
      <c r="C19" s="3" t="s">
        <v>38</v>
      </c>
      <c r="D19" s="3" t="s">
        <v>39</v>
      </c>
      <c r="E19" s="4">
        <v>38225121.469999999</v>
      </c>
      <c r="F19" s="4">
        <v>38225121.469999999</v>
      </c>
      <c r="G19" s="8" t="s">
        <v>263</v>
      </c>
      <c r="H19" s="3"/>
      <c r="I19" s="3" t="s">
        <v>212</v>
      </c>
      <c r="J19" s="3" t="s">
        <v>268</v>
      </c>
      <c r="K19" s="3" t="s">
        <v>269</v>
      </c>
      <c r="L19" s="3" t="s">
        <v>270</v>
      </c>
      <c r="M19" s="3" t="s">
        <v>181</v>
      </c>
      <c r="N19" s="3" t="s">
        <v>182</v>
      </c>
      <c r="O19" s="3" t="s">
        <v>183</v>
      </c>
      <c r="P19" s="5"/>
      <c r="Q19" s="5"/>
      <c r="R19" s="5"/>
      <c r="S19" s="5"/>
      <c r="T19" s="6"/>
      <c r="U19" s="7" t="str">
        <f t="shared" si="0"/>
        <v/>
      </c>
      <c r="V19" s="5"/>
      <c r="W19" s="5"/>
      <c r="X19" s="5"/>
    </row>
    <row r="20" spans="1:24" x14ac:dyDescent="0.3">
      <c r="A20" s="2" t="s">
        <v>271</v>
      </c>
      <c r="B20" s="3" t="s">
        <v>176</v>
      </c>
      <c r="C20" s="3" t="s">
        <v>51</v>
      </c>
      <c r="D20" s="3" t="s">
        <v>52</v>
      </c>
      <c r="E20" s="4">
        <v>38552343.240000002</v>
      </c>
      <c r="F20" s="4">
        <v>38552343.240000002</v>
      </c>
      <c r="G20" s="3"/>
      <c r="H20" s="3"/>
      <c r="I20" s="3" t="s">
        <v>203</v>
      </c>
      <c r="J20" s="3"/>
      <c r="K20" s="3" t="s">
        <v>272</v>
      </c>
      <c r="L20" s="3"/>
      <c r="M20" s="3" t="s">
        <v>181</v>
      </c>
      <c r="N20" s="3" t="s">
        <v>182</v>
      </c>
      <c r="O20" s="3" t="s">
        <v>183</v>
      </c>
      <c r="P20" s="5"/>
      <c r="Q20" s="5"/>
      <c r="R20" s="5"/>
      <c r="S20" s="5"/>
      <c r="T20" s="6"/>
      <c r="U20" s="7" t="str">
        <f t="shared" si="0"/>
        <v/>
      </c>
      <c r="V20" s="5"/>
      <c r="W20" s="5"/>
      <c r="X20" s="5"/>
    </row>
    <row r="21" spans="1:24" x14ac:dyDescent="0.3">
      <c r="A21" s="2" t="s">
        <v>273</v>
      </c>
      <c r="B21" s="3" t="s">
        <v>176</v>
      </c>
      <c r="C21" s="3" t="s">
        <v>28</v>
      </c>
      <c r="D21" s="3" t="s">
        <v>29</v>
      </c>
      <c r="E21" s="4">
        <v>39751072.259999998</v>
      </c>
      <c r="F21" s="4">
        <v>39751072.259999998</v>
      </c>
      <c r="G21" s="8" t="s">
        <v>274</v>
      </c>
      <c r="H21" s="3"/>
      <c r="I21" s="3" t="s">
        <v>212</v>
      </c>
      <c r="J21" s="3" t="s">
        <v>275</v>
      </c>
      <c r="K21" s="3" t="s">
        <v>276</v>
      </c>
      <c r="L21" s="3"/>
      <c r="M21" s="3" t="s">
        <v>181</v>
      </c>
      <c r="N21" s="3" t="s">
        <v>182</v>
      </c>
      <c r="O21" s="3" t="s">
        <v>183</v>
      </c>
      <c r="P21" s="5"/>
      <c r="Q21" s="5"/>
      <c r="R21" s="5"/>
      <c r="S21" s="5"/>
      <c r="T21" s="6"/>
      <c r="U21" s="7" t="str">
        <f t="shared" si="0"/>
        <v/>
      </c>
      <c r="V21" s="5"/>
      <c r="W21" s="5"/>
      <c r="X21" s="5"/>
    </row>
    <row r="22" spans="1:24" x14ac:dyDescent="0.3">
      <c r="A22" s="2" t="s">
        <v>277</v>
      </c>
      <c r="B22" s="3" t="s">
        <v>176</v>
      </c>
      <c r="C22" s="3" t="s">
        <v>28</v>
      </c>
      <c r="D22" s="3" t="s">
        <v>29</v>
      </c>
      <c r="E22" s="4">
        <v>68780934.480000004</v>
      </c>
      <c r="F22" s="4">
        <v>68780934.480000004</v>
      </c>
      <c r="G22" s="8" t="s">
        <v>278</v>
      </c>
      <c r="H22" s="3" t="s">
        <v>148</v>
      </c>
      <c r="I22" s="3" t="s">
        <v>212</v>
      </c>
      <c r="J22" s="3" t="s">
        <v>279</v>
      </c>
      <c r="K22" s="3" t="s">
        <v>280</v>
      </c>
      <c r="L22" s="3" t="s">
        <v>281</v>
      </c>
      <c r="M22" s="3" t="s">
        <v>181</v>
      </c>
      <c r="N22" s="3" t="s">
        <v>182</v>
      </c>
      <c r="O22" s="3" t="s">
        <v>183</v>
      </c>
      <c r="P22" s="5"/>
      <c r="Q22" s="5"/>
      <c r="R22" s="5"/>
      <c r="S22" s="5"/>
      <c r="T22" s="6"/>
      <c r="U22" s="7" t="str">
        <f t="shared" si="0"/>
        <v/>
      </c>
      <c r="V22" s="5"/>
      <c r="W22" s="5"/>
      <c r="X22" s="5"/>
    </row>
    <row r="23" spans="1:24" x14ac:dyDescent="0.3">
      <c r="A23" s="2" t="s">
        <v>282</v>
      </c>
      <c r="B23" s="3" t="s">
        <v>176</v>
      </c>
      <c r="C23" s="3" t="s">
        <v>28</v>
      </c>
      <c r="D23" s="3" t="s">
        <v>29</v>
      </c>
      <c r="E23" s="4">
        <v>130630387.14</v>
      </c>
      <c r="F23" s="4">
        <v>130630387.14</v>
      </c>
      <c r="G23" s="8" t="s">
        <v>283</v>
      </c>
      <c r="H23" s="3" t="s">
        <v>148</v>
      </c>
      <c r="I23" s="3" t="s">
        <v>284</v>
      </c>
      <c r="J23" s="3" t="s">
        <v>285</v>
      </c>
      <c r="K23" s="3" t="s">
        <v>286</v>
      </c>
      <c r="L23" s="3" t="s">
        <v>287</v>
      </c>
      <c r="M23" s="3" t="s">
        <v>181</v>
      </c>
      <c r="N23" s="3" t="s">
        <v>182</v>
      </c>
      <c r="O23" s="3" t="s">
        <v>183</v>
      </c>
      <c r="P23" s="5"/>
      <c r="Q23" s="5"/>
      <c r="R23" s="5"/>
      <c r="S23" s="5"/>
      <c r="T23" s="6"/>
      <c r="U23" s="7" t="str">
        <f t="shared" si="0"/>
        <v/>
      </c>
      <c r="V23" s="5"/>
      <c r="W23" s="5"/>
      <c r="X23" s="5"/>
    </row>
    <row r="24" spans="1:24" x14ac:dyDescent="0.3">
      <c r="A24" s="2" t="s">
        <v>288</v>
      </c>
      <c r="B24" s="3" t="s">
        <v>176</v>
      </c>
      <c r="C24" s="3" t="s">
        <v>44</v>
      </c>
      <c r="D24" s="3" t="s">
        <v>45</v>
      </c>
      <c r="E24" s="4">
        <v>210638516.78</v>
      </c>
      <c r="F24" s="4">
        <v>210638516.78</v>
      </c>
      <c r="G24" s="8" t="s">
        <v>289</v>
      </c>
      <c r="H24" s="3" t="s">
        <v>148</v>
      </c>
      <c r="I24" s="3" t="s">
        <v>290</v>
      </c>
      <c r="J24" s="3" t="s">
        <v>291</v>
      </c>
      <c r="K24" s="3" t="s">
        <v>292</v>
      </c>
      <c r="L24" s="3" t="s">
        <v>293</v>
      </c>
      <c r="M24" s="3" t="s">
        <v>181</v>
      </c>
      <c r="N24" s="3" t="s">
        <v>182</v>
      </c>
      <c r="O24" s="3" t="s">
        <v>183</v>
      </c>
      <c r="P24" s="5"/>
      <c r="Q24" s="5"/>
      <c r="R24" s="5"/>
      <c r="S24" s="5"/>
      <c r="T24" s="6"/>
      <c r="U24" s="7" t="str">
        <f t="shared" si="0"/>
        <v/>
      </c>
      <c r="V24" s="5"/>
      <c r="W24" s="5"/>
      <c r="X24" s="5"/>
    </row>
    <row r="25" spans="1:24" x14ac:dyDescent="0.3">
      <c r="A25" s="2" t="s">
        <v>294</v>
      </c>
      <c r="B25" s="3" t="s">
        <v>176</v>
      </c>
      <c r="C25" s="3" t="s">
        <v>28</v>
      </c>
      <c r="D25" s="3" t="s">
        <v>29</v>
      </c>
      <c r="E25" s="4">
        <v>271274188.06</v>
      </c>
      <c r="F25" s="4">
        <v>271274188.06</v>
      </c>
      <c r="G25" s="3"/>
      <c r="H25" s="3"/>
      <c r="I25" s="3" t="s">
        <v>98</v>
      </c>
      <c r="J25" s="3" t="s">
        <v>295</v>
      </c>
      <c r="K25" s="3" t="s">
        <v>296</v>
      </c>
      <c r="L25" s="3" t="s">
        <v>297</v>
      </c>
      <c r="M25" s="3" t="s">
        <v>181</v>
      </c>
      <c r="N25" s="3" t="s">
        <v>182</v>
      </c>
      <c r="O25" s="3" t="s">
        <v>183</v>
      </c>
      <c r="P25" s="5"/>
      <c r="Q25" s="5"/>
      <c r="R25" s="5"/>
      <c r="S25" s="5"/>
      <c r="T25" s="6"/>
      <c r="U25" s="7" t="str">
        <f t="shared" si="0"/>
        <v/>
      </c>
      <c r="V25" s="5"/>
      <c r="W25" s="5"/>
      <c r="X25" s="5"/>
    </row>
    <row r="26" spans="1:24" x14ac:dyDescent="0.3">
      <c r="A26" s="2" t="s">
        <v>298</v>
      </c>
      <c r="B26" s="3" t="s">
        <v>176</v>
      </c>
      <c r="C26" s="3" t="s">
        <v>28</v>
      </c>
      <c r="D26" s="3" t="s">
        <v>29</v>
      </c>
      <c r="E26" s="4">
        <v>1796943388.55</v>
      </c>
      <c r="F26" s="4">
        <v>1796943388.55</v>
      </c>
      <c r="G26" s="8" t="s">
        <v>299</v>
      </c>
      <c r="H26" s="3" t="s">
        <v>148</v>
      </c>
      <c r="I26" s="3" t="s">
        <v>122</v>
      </c>
      <c r="J26" s="3" t="s">
        <v>300</v>
      </c>
      <c r="K26" s="3" t="s">
        <v>301</v>
      </c>
      <c r="L26" s="3" t="s">
        <v>302</v>
      </c>
      <c r="M26" s="3" t="s">
        <v>181</v>
      </c>
      <c r="N26" s="3" t="s">
        <v>182</v>
      </c>
      <c r="O26" s="3" t="s">
        <v>183</v>
      </c>
      <c r="P26" s="5"/>
      <c r="Q26" s="5"/>
      <c r="R26" s="5"/>
      <c r="S26" s="5"/>
      <c r="T26" s="6"/>
      <c r="U26" s="7" t="str">
        <f t="shared" si="0"/>
        <v/>
      </c>
      <c r="V26" s="5"/>
      <c r="W26" s="5"/>
      <c r="X26" s="5"/>
    </row>
    <row r="27" spans="1:24" x14ac:dyDescent="0.3">
      <c r="A27" s="2" t="s">
        <v>303</v>
      </c>
      <c r="B27" s="3" t="s">
        <v>176</v>
      </c>
      <c r="C27" s="3" t="s">
        <v>28</v>
      </c>
      <c r="D27" s="3" t="s">
        <v>304</v>
      </c>
      <c r="E27" s="4"/>
      <c r="F27" s="4"/>
      <c r="G27" s="3"/>
      <c r="H27" s="3"/>
      <c r="I27" s="3"/>
      <c r="J27" s="3" t="s">
        <v>305</v>
      </c>
      <c r="K27" s="3" t="s">
        <v>306</v>
      </c>
      <c r="L27" s="3"/>
      <c r="M27" s="3" t="s">
        <v>181</v>
      </c>
      <c r="N27" s="3" t="s">
        <v>182</v>
      </c>
      <c r="O27" s="3" t="s">
        <v>183</v>
      </c>
      <c r="P27" s="5"/>
      <c r="Q27" s="5"/>
      <c r="R27" s="5"/>
      <c r="S27" s="5"/>
      <c r="T27" s="6"/>
      <c r="U27" s="7" t="str">
        <f t="shared" si="0"/>
        <v/>
      </c>
      <c r="V27" s="5"/>
      <c r="W27" s="5"/>
      <c r="X27" s="5"/>
    </row>
    <row r="28" spans="1:24" x14ac:dyDescent="0.3">
      <c r="A28" s="2" t="s">
        <v>307</v>
      </c>
      <c r="B28" s="3" t="s">
        <v>176</v>
      </c>
      <c r="C28" s="3" t="s">
        <v>308</v>
      </c>
      <c r="D28" s="3" t="s">
        <v>309</v>
      </c>
      <c r="E28" s="4"/>
      <c r="F28" s="4"/>
      <c r="G28" s="3"/>
      <c r="H28" s="3" t="s">
        <v>148</v>
      </c>
      <c r="I28" s="3"/>
      <c r="J28" s="3" t="s">
        <v>310</v>
      </c>
      <c r="K28" s="3" t="s">
        <v>311</v>
      </c>
      <c r="L28" s="3"/>
      <c r="M28" s="3" t="s">
        <v>181</v>
      </c>
      <c r="N28" s="3" t="s">
        <v>182</v>
      </c>
      <c r="O28" s="3" t="s">
        <v>183</v>
      </c>
      <c r="P28" s="5"/>
      <c r="Q28" s="5"/>
      <c r="R28" s="5"/>
      <c r="S28" s="5"/>
      <c r="T28" s="6"/>
      <c r="U28" s="7" t="str">
        <f t="shared" si="0"/>
        <v/>
      </c>
      <c r="V28" s="5"/>
      <c r="W28" s="5"/>
      <c r="X28" s="5"/>
    </row>
    <row r="29" spans="1:24" x14ac:dyDescent="0.3">
      <c r="A29" s="2" t="s">
        <v>312</v>
      </c>
      <c r="B29" s="3" t="s">
        <v>176</v>
      </c>
      <c r="C29" s="3" t="s">
        <v>51</v>
      </c>
      <c r="D29" s="3" t="s">
        <v>52</v>
      </c>
      <c r="E29" s="4"/>
      <c r="F29" s="4"/>
      <c r="G29" s="8" t="s">
        <v>313</v>
      </c>
      <c r="H29" s="3"/>
      <c r="I29" s="3"/>
      <c r="J29" s="3" t="s">
        <v>314</v>
      </c>
      <c r="K29" s="3" t="s">
        <v>315</v>
      </c>
      <c r="L29" s="3" t="s">
        <v>316</v>
      </c>
      <c r="M29" s="3" t="s">
        <v>181</v>
      </c>
      <c r="N29" s="3" t="s">
        <v>182</v>
      </c>
      <c r="O29" s="3" t="s">
        <v>183</v>
      </c>
      <c r="P29" s="5"/>
      <c r="Q29" s="5"/>
      <c r="R29" s="5"/>
      <c r="S29" s="5"/>
      <c r="T29" s="6"/>
      <c r="U29" s="7" t="str">
        <f t="shared" si="0"/>
        <v/>
      </c>
      <c r="V29" s="5"/>
      <c r="W29" s="5"/>
      <c r="X29" s="5"/>
    </row>
    <row r="30" spans="1:24" x14ac:dyDescent="0.3">
      <c r="A30" s="2" t="s">
        <v>317</v>
      </c>
      <c r="B30" s="3" t="s">
        <v>176</v>
      </c>
      <c r="C30" s="3" t="s">
        <v>28</v>
      </c>
      <c r="D30" s="3" t="s">
        <v>29</v>
      </c>
      <c r="E30" s="4"/>
      <c r="F30" s="4"/>
      <c r="G30" s="8" t="s">
        <v>318</v>
      </c>
      <c r="H30" s="3"/>
      <c r="I30" s="3" t="s">
        <v>157</v>
      </c>
      <c r="J30" s="3" t="s">
        <v>319</v>
      </c>
      <c r="K30" s="3" t="s">
        <v>320</v>
      </c>
      <c r="L30" s="3" t="s">
        <v>321</v>
      </c>
      <c r="M30" s="3" t="s">
        <v>181</v>
      </c>
      <c r="N30" s="3" t="s">
        <v>182</v>
      </c>
      <c r="O30" s="3" t="s">
        <v>183</v>
      </c>
      <c r="P30" s="5"/>
      <c r="Q30" s="5"/>
      <c r="R30" s="5"/>
      <c r="S30" s="5"/>
      <c r="T30" s="6"/>
      <c r="U30" s="7" t="str">
        <f t="shared" si="0"/>
        <v/>
      </c>
      <c r="V30" s="5"/>
      <c r="W30" s="5"/>
      <c r="X30" s="5"/>
    </row>
    <row r="31" spans="1:24" x14ac:dyDescent="0.3">
      <c r="A31" s="2" t="s">
        <v>322</v>
      </c>
      <c r="B31" s="3" t="s">
        <v>176</v>
      </c>
      <c r="C31" s="3" t="s">
        <v>86</v>
      </c>
      <c r="D31" s="3" t="s">
        <v>87</v>
      </c>
      <c r="E31" s="4"/>
      <c r="F31" s="4"/>
      <c r="G31" s="8" t="s">
        <v>323</v>
      </c>
      <c r="H31" s="3"/>
      <c r="I31" s="3"/>
      <c r="J31" s="3" t="s">
        <v>324</v>
      </c>
      <c r="K31" s="3" t="s">
        <v>325</v>
      </c>
      <c r="L31" s="3"/>
      <c r="M31" s="3" t="s">
        <v>181</v>
      </c>
      <c r="N31" s="3" t="s">
        <v>182</v>
      </c>
      <c r="O31" s="3" t="s">
        <v>183</v>
      </c>
      <c r="P31" s="5"/>
      <c r="Q31" s="5"/>
      <c r="R31" s="5"/>
      <c r="S31" s="5"/>
      <c r="T31" s="6"/>
      <c r="U31" s="7" t="str">
        <f t="shared" si="0"/>
        <v/>
      </c>
      <c r="V31" s="5"/>
      <c r="W31" s="5"/>
      <c r="X31" s="5"/>
    </row>
    <row r="32" spans="1:24" x14ac:dyDescent="0.3">
      <c r="A32" s="2" t="s">
        <v>326</v>
      </c>
      <c r="B32" s="3" t="s">
        <v>176</v>
      </c>
      <c r="C32" s="3" t="s">
        <v>51</v>
      </c>
      <c r="D32" s="3" t="s">
        <v>52</v>
      </c>
      <c r="E32" s="4"/>
      <c r="F32" s="4"/>
      <c r="G32" s="3"/>
      <c r="H32" s="3" t="s">
        <v>148</v>
      </c>
      <c r="I32" s="3"/>
      <c r="J32" s="3" t="s">
        <v>327</v>
      </c>
      <c r="K32" s="3" t="s">
        <v>328</v>
      </c>
      <c r="L32" s="3" t="s">
        <v>329</v>
      </c>
      <c r="M32" s="3" t="s">
        <v>181</v>
      </c>
      <c r="N32" s="3" t="s">
        <v>182</v>
      </c>
      <c r="O32" s="3" t="s">
        <v>183</v>
      </c>
      <c r="P32" s="5"/>
      <c r="Q32" s="5"/>
      <c r="R32" s="5"/>
      <c r="S32" s="5"/>
      <c r="T32" s="6"/>
      <c r="U32" s="7" t="str">
        <f t="shared" si="0"/>
        <v/>
      </c>
      <c r="V32" s="5"/>
      <c r="W32" s="5"/>
      <c r="X32" s="5"/>
    </row>
    <row r="33" spans="1:24" x14ac:dyDescent="0.3">
      <c r="A33" s="2" t="s">
        <v>330</v>
      </c>
      <c r="B33" s="3" t="s">
        <v>176</v>
      </c>
      <c r="C33" s="3" t="s">
        <v>44</v>
      </c>
      <c r="D33" s="3" t="s">
        <v>45</v>
      </c>
      <c r="E33" s="4"/>
      <c r="F33" s="4"/>
      <c r="G33" s="3"/>
      <c r="H33" s="3" t="s">
        <v>148</v>
      </c>
      <c r="I33" s="3"/>
      <c r="J33" s="3" t="s">
        <v>331</v>
      </c>
      <c r="K33" s="3" t="s">
        <v>332</v>
      </c>
      <c r="L33" s="3" t="s">
        <v>333</v>
      </c>
      <c r="M33" s="3" t="s">
        <v>181</v>
      </c>
      <c r="N33" s="3" t="s">
        <v>182</v>
      </c>
      <c r="O33" s="3" t="s">
        <v>183</v>
      </c>
      <c r="P33" s="5"/>
      <c r="Q33" s="5"/>
      <c r="R33" s="5"/>
      <c r="S33" s="5"/>
      <c r="T33" s="6"/>
      <c r="U33" s="7" t="str">
        <f t="shared" si="0"/>
        <v/>
      </c>
      <c r="V33" s="5"/>
      <c r="W33" s="5"/>
      <c r="X33" s="5"/>
    </row>
    <row r="34" spans="1:24" x14ac:dyDescent="0.3">
      <c r="A34" s="2" t="s">
        <v>334</v>
      </c>
      <c r="B34" s="3" t="s">
        <v>176</v>
      </c>
      <c r="C34" s="3" t="s">
        <v>28</v>
      </c>
      <c r="D34" s="3" t="s">
        <v>29</v>
      </c>
      <c r="E34" s="4"/>
      <c r="F34" s="4"/>
      <c r="G34" s="8" t="s">
        <v>335</v>
      </c>
      <c r="H34" s="3"/>
      <c r="I34" s="3"/>
      <c r="J34" s="3" t="s">
        <v>336</v>
      </c>
      <c r="K34" s="3" t="s">
        <v>337</v>
      </c>
      <c r="L34" s="3" t="s">
        <v>338</v>
      </c>
      <c r="M34" s="3" t="s">
        <v>181</v>
      </c>
      <c r="N34" s="3" t="s">
        <v>182</v>
      </c>
      <c r="O34" s="3" t="s">
        <v>183</v>
      </c>
      <c r="P34" s="5"/>
      <c r="Q34" s="5"/>
      <c r="R34" s="5"/>
      <c r="S34" s="5"/>
      <c r="T34" s="6"/>
      <c r="U34" s="7" t="str">
        <f t="shared" si="0"/>
        <v/>
      </c>
      <c r="V34" s="5"/>
      <c r="W34" s="5"/>
      <c r="X34" s="5"/>
    </row>
    <row r="35" spans="1:24" x14ac:dyDescent="0.3">
      <c r="A35" s="2" t="s">
        <v>339</v>
      </c>
      <c r="B35" s="3" t="s">
        <v>176</v>
      </c>
      <c r="C35" s="3" t="s">
        <v>28</v>
      </c>
      <c r="D35" s="3" t="s">
        <v>29</v>
      </c>
      <c r="E35" s="4"/>
      <c r="F35" s="4"/>
      <c r="G35" s="8" t="s">
        <v>340</v>
      </c>
      <c r="H35" s="3" t="s">
        <v>148</v>
      </c>
      <c r="I35" s="3" t="s">
        <v>223</v>
      </c>
      <c r="J35" s="3" t="s">
        <v>341</v>
      </c>
      <c r="K35" s="3" t="s">
        <v>342</v>
      </c>
      <c r="L35" s="3" t="s">
        <v>343</v>
      </c>
      <c r="M35" s="3" t="s">
        <v>181</v>
      </c>
      <c r="N35" s="3" t="s">
        <v>182</v>
      </c>
      <c r="O35" s="3" t="s">
        <v>183</v>
      </c>
      <c r="P35" s="5"/>
      <c r="Q35" s="5"/>
      <c r="R35" s="5"/>
      <c r="S35" s="5"/>
      <c r="T35" s="6"/>
      <c r="U35" s="7" t="str">
        <f t="shared" si="0"/>
        <v/>
      </c>
      <c r="V35" s="5"/>
      <c r="W35" s="5"/>
      <c r="X35" s="5"/>
    </row>
    <row r="36" spans="1:24" x14ac:dyDescent="0.3">
      <c r="A36" s="2" t="s">
        <v>344</v>
      </c>
      <c r="B36" s="3" t="s">
        <v>176</v>
      </c>
      <c r="C36" s="3" t="s">
        <v>28</v>
      </c>
      <c r="D36" s="3" t="s">
        <v>29</v>
      </c>
      <c r="E36" s="4"/>
      <c r="F36" s="4"/>
      <c r="G36" s="3"/>
      <c r="H36" s="3"/>
      <c r="I36" s="3"/>
      <c r="J36" s="3" t="s">
        <v>345</v>
      </c>
      <c r="K36" s="3" t="s">
        <v>346</v>
      </c>
      <c r="L36" s="3" t="s">
        <v>347</v>
      </c>
      <c r="M36" s="3" t="s">
        <v>181</v>
      </c>
      <c r="N36" s="3" t="s">
        <v>182</v>
      </c>
      <c r="O36" s="3" t="s">
        <v>183</v>
      </c>
      <c r="P36" s="5"/>
      <c r="Q36" s="5"/>
      <c r="R36" s="5"/>
      <c r="S36" s="5"/>
      <c r="T36" s="6"/>
      <c r="U36" s="7" t="str">
        <f t="shared" si="0"/>
        <v/>
      </c>
      <c r="V36" s="5"/>
      <c r="W36" s="5"/>
      <c r="X36" s="5"/>
    </row>
    <row r="37" spans="1:24" x14ac:dyDescent="0.3">
      <c r="A37" s="2" t="s">
        <v>348</v>
      </c>
      <c r="B37" s="3" t="s">
        <v>176</v>
      </c>
      <c r="C37" s="3" t="s">
        <v>28</v>
      </c>
      <c r="D37" s="3" t="s">
        <v>29</v>
      </c>
      <c r="E37" s="4"/>
      <c r="F37" s="4"/>
      <c r="G37" s="8" t="s">
        <v>349</v>
      </c>
      <c r="H37" s="3" t="s">
        <v>148</v>
      </c>
      <c r="I37" s="3" t="s">
        <v>350</v>
      </c>
      <c r="J37" s="3" t="s">
        <v>351</v>
      </c>
      <c r="K37" s="3" t="s">
        <v>352</v>
      </c>
      <c r="L37" s="3" t="s">
        <v>353</v>
      </c>
      <c r="M37" s="3" t="s">
        <v>181</v>
      </c>
      <c r="N37" s="3" t="s">
        <v>182</v>
      </c>
      <c r="O37" s="3" t="s">
        <v>183</v>
      </c>
      <c r="P37" s="5"/>
      <c r="Q37" s="5"/>
      <c r="R37" s="5"/>
      <c r="S37" s="5"/>
      <c r="T37" s="6"/>
      <c r="U37" s="7" t="str">
        <f t="shared" si="0"/>
        <v/>
      </c>
      <c r="V37" s="5"/>
      <c r="W37" s="5"/>
      <c r="X37" s="5"/>
    </row>
    <row r="38" spans="1:24" x14ac:dyDescent="0.3">
      <c r="A38" s="2" t="s">
        <v>354</v>
      </c>
      <c r="B38" s="3" t="s">
        <v>176</v>
      </c>
      <c r="C38" s="3" t="s">
        <v>28</v>
      </c>
      <c r="D38" s="3" t="s">
        <v>29</v>
      </c>
      <c r="E38" s="4"/>
      <c r="F38" s="4"/>
      <c r="G38" s="8" t="s">
        <v>53</v>
      </c>
      <c r="H38" s="3"/>
      <c r="I38" s="3"/>
      <c r="J38" s="3" t="s">
        <v>355</v>
      </c>
      <c r="K38" s="3" t="s">
        <v>356</v>
      </c>
      <c r="L38" s="3" t="s">
        <v>357</v>
      </c>
      <c r="M38" s="3" t="s">
        <v>181</v>
      </c>
      <c r="N38" s="3" t="s">
        <v>182</v>
      </c>
      <c r="O38" s="3" t="s">
        <v>183</v>
      </c>
      <c r="P38" s="5"/>
      <c r="Q38" s="5"/>
      <c r="R38" s="5"/>
      <c r="S38" s="5"/>
      <c r="T38" s="6"/>
      <c r="U38" s="7" t="str">
        <f t="shared" si="0"/>
        <v/>
      </c>
      <c r="V38" s="5"/>
      <c r="W38" s="5"/>
      <c r="X38" s="5"/>
    </row>
    <row r="39" spans="1:24" x14ac:dyDescent="0.3">
      <c r="A39" s="2" t="s">
        <v>358</v>
      </c>
      <c r="B39" s="3" t="s">
        <v>176</v>
      </c>
      <c r="C39" s="3" t="s">
        <v>28</v>
      </c>
      <c r="D39" s="3" t="s">
        <v>29</v>
      </c>
      <c r="E39" s="4"/>
      <c r="F39" s="4"/>
      <c r="G39" s="3"/>
      <c r="H39" s="3"/>
      <c r="I39" s="3"/>
      <c r="J39" s="3" t="s">
        <v>359</v>
      </c>
      <c r="K39" s="3" t="s">
        <v>360</v>
      </c>
      <c r="L39" s="3" t="s">
        <v>361</v>
      </c>
      <c r="M39" s="3" t="s">
        <v>181</v>
      </c>
      <c r="N39" s="3" t="s">
        <v>182</v>
      </c>
      <c r="O39" s="3" t="s">
        <v>183</v>
      </c>
      <c r="P39" s="5"/>
      <c r="Q39" s="5"/>
      <c r="R39" s="5"/>
      <c r="S39" s="5"/>
      <c r="T39" s="6"/>
      <c r="U39" s="7" t="str">
        <f t="shared" si="0"/>
        <v/>
      </c>
      <c r="V39" s="5"/>
      <c r="W39" s="5"/>
      <c r="X39" s="5"/>
    </row>
    <row r="40" spans="1:24" x14ac:dyDescent="0.3">
      <c r="A40" s="2" t="s">
        <v>362</v>
      </c>
      <c r="B40" s="3" t="s">
        <v>176</v>
      </c>
      <c r="C40" s="3" t="s">
        <v>28</v>
      </c>
      <c r="D40" s="3" t="s">
        <v>29</v>
      </c>
      <c r="E40" s="4"/>
      <c r="F40" s="4"/>
      <c r="G40" s="8" t="s">
        <v>363</v>
      </c>
      <c r="H40" s="3"/>
      <c r="I40" s="3" t="s">
        <v>243</v>
      </c>
      <c r="J40" s="3" t="s">
        <v>345</v>
      </c>
      <c r="K40" s="3" t="s">
        <v>346</v>
      </c>
      <c r="L40" s="3" t="s">
        <v>364</v>
      </c>
      <c r="M40" s="3" t="s">
        <v>181</v>
      </c>
      <c r="N40" s="3" t="s">
        <v>182</v>
      </c>
      <c r="O40" s="3" t="s">
        <v>183</v>
      </c>
      <c r="P40" s="5"/>
      <c r="Q40" s="5"/>
      <c r="R40" s="5"/>
      <c r="S40" s="5"/>
      <c r="T40" s="6"/>
      <c r="U40" s="7" t="str">
        <f t="shared" si="0"/>
        <v/>
      </c>
      <c r="V40" s="5"/>
      <c r="W40" s="5"/>
      <c r="X40" s="5"/>
    </row>
    <row r="41" spans="1:24" x14ac:dyDescent="0.3">
      <c r="A41" s="2" t="s">
        <v>365</v>
      </c>
      <c r="B41" s="3" t="s">
        <v>176</v>
      </c>
      <c r="C41" s="3" t="s">
        <v>28</v>
      </c>
      <c r="D41" s="3" t="s">
        <v>29</v>
      </c>
      <c r="E41" s="4"/>
      <c r="F41" s="4"/>
      <c r="G41" s="8" t="s">
        <v>366</v>
      </c>
      <c r="H41" s="3"/>
      <c r="I41" s="3"/>
      <c r="J41" s="3" t="s">
        <v>367</v>
      </c>
      <c r="K41" s="3" t="s">
        <v>368</v>
      </c>
      <c r="L41" s="3" t="s">
        <v>369</v>
      </c>
      <c r="M41" s="3" t="s">
        <v>181</v>
      </c>
      <c r="N41" s="3" t="s">
        <v>182</v>
      </c>
      <c r="O41" s="3" t="s">
        <v>183</v>
      </c>
      <c r="P41" s="5"/>
      <c r="Q41" s="5"/>
      <c r="R41" s="5"/>
      <c r="S41" s="5"/>
      <c r="T41" s="6"/>
      <c r="U41" s="7" t="str">
        <f t="shared" si="0"/>
        <v/>
      </c>
      <c r="V41" s="5"/>
      <c r="W41" s="5"/>
      <c r="X41" s="5"/>
    </row>
    <row r="42" spans="1:24" x14ac:dyDescent="0.3">
      <c r="A42" s="2" t="s">
        <v>370</v>
      </c>
      <c r="B42" s="3" t="s">
        <v>176</v>
      </c>
      <c r="C42" s="3" t="s">
        <v>28</v>
      </c>
      <c r="D42" s="3" t="s">
        <v>29</v>
      </c>
      <c r="E42" s="4"/>
      <c r="F42" s="4"/>
      <c r="G42" s="8" t="s">
        <v>371</v>
      </c>
      <c r="H42" s="3"/>
      <c r="I42" s="3"/>
      <c r="J42" s="3" t="s">
        <v>372</v>
      </c>
      <c r="K42" s="3" t="s">
        <v>342</v>
      </c>
      <c r="L42" s="3" t="s">
        <v>373</v>
      </c>
      <c r="M42" s="3" t="s">
        <v>181</v>
      </c>
      <c r="N42" s="3" t="s">
        <v>182</v>
      </c>
      <c r="O42" s="3" t="s">
        <v>183</v>
      </c>
      <c r="P42" s="5"/>
      <c r="Q42" s="5"/>
      <c r="R42" s="5"/>
      <c r="S42" s="5"/>
      <c r="T42" s="6"/>
      <c r="U42" s="7" t="str">
        <f t="shared" si="0"/>
        <v/>
      </c>
      <c r="V42" s="5"/>
      <c r="W42" s="5"/>
      <c r="X42" s="5"/>
    </row>
    <row r="43" spans="1:24" x14ac:dyDescent="0.3">
      <c r="A43" s="2" t="s">
        <v>374</v>
      </c>
      <c r="B43" s="3" t="s">
        <v>176</v>
      </c>
      <c r="C43" s="3" t="s">
        <v>28</v>
      </c>
      <c r="D43" s="3" t="s">
        <v>29</v>
      </c>
      <c r="E43" s="4"/>
      <c r="F43" s="4"/>
      <c r="G43" s="8" t="s">
        <v>375</v>
      </c>
      <c r="H43" s="3" t="s">
        <v>148</v>
      </c>
      <c r="I43" s="3"/>
      <c r="J43" s="3" t="s">
        <v>376</v>
      </c>
      <c r="K43" s="3" t="s">
        <v>377</v>
      </c>
      <c r="L43" s="3" t="s">
        <v>378</v>
      </c>
      <c r="M43" s="3" t="s">
        <v>181</v>
      </c>
      <c r="N43" s="3" t="s">
        <v>182</v>
      </c>
      <c r="O43" s="3" t="s">
        <v>183</v>
      </c>
      <c r="P43" s="5"/>
      <c r="Q43" s="5"/>
      <c r="R43" s="5"/>
      <c r="S43" s="5"/>
      <c r="T43" s="6"/>
      <c r="U43" s="7" t="str">
        <f t="shared" si="0"/>
        <v/>
      </c>
      <c r="V43" s="5"/>
      <c r="W43" s="5"/>
      <c r="X43" s="5"/>
    </row>
    <row r="44" spans="1:24" x14ac:dyDescent="0.3">
      <c r="A44" s="2" t="s">
        <v>379</v>
      </c>
      <c r="B44" s="3" t="s">
        <v>176</v>
      </c>
      <c r="C44" s="3" t="s">
        <v>38</v>
      </c>
      <c r="D44" s="3" t="s">
        <v>39</v>
      </c>
      <c r="E44" s="4"/>
      <c r="F44" s="4"/>
      <c r="G44" s="3"/>
      <c r="H44" s="3" t="s">
        <v>148</v>
      </c>
      <c r="I44" s="3"/>
      <c r="J44" s="3" t="s">
        <v>380</v>
      </c>
      <c r="K44" s="3" t="s">
        <v>381</v>
      </c>
      <c r="L44" s="3" t="s">
        <v>382</v>
      </c>
      <c r="M44" s="3" t="s">
        <v>181</v>
      </c>
      <c r="N44" s="3" t="s">
        <v>182</v>
      </c>
      <c r="O44" s="3" t="s">
        <v>183</v>
      </c>
      <c r="P44" s="5"/>
      <c r="Q44" s="5"/>
      <c r="R44" s="5"/>
      <c r="S44" s="5"/>
      <c r="T44" s="6"/>
      <c r="U44" s="7" t="str">
        <f t="shared" si="0"/>
        <v/>
      </c>
      <c r="V44" s="5"/>
      <c r="W44" s="5"/>
      <c r="X44" s="5"/>
    </row>
  </sheetData>
  <autoFilter ref="A1:X44" xr:uid="{00000000-0009-0000-0000-000004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CCCCCC"/>
  </sheetPr>
  <dimension ref="B1:C21"/>
  <sheetViews>
    <sheetView workbookViewId="0"/>
  </sheetViews>
  <sheetFormatPr defaultRowHeight="14.4" x14ac:dyDescent="0.3"/>
  <cols>
    <col min="1" max="1" width="4" customWidth="1"/>
    <col min="2" max="2" width="112" customWidth="1"/>
  </cols>
  <sheetData>
    <row r="1" spans="2:2" x14ac:dyDescent="0.3">
      <c r="B1" s="9" t="s">
        <v>383</v>
      </c>
    </row>
    <row r="2" spans="2:2" x14ac:dyDescent="0.3">
      <c r="B2" s="10"/>
    </row>
    <row r="3" spans="2:2" x14ac:dyDescent="0.3">
      <c r="B3" s="9" t="s">
        <v>384</v>
      </c>
    </row>
    <row r="4" spans="2:2" x14ac:dyDescent="0.3">
      <c r="B4" s="10" t="s">
        <v>385</v>
      </c>
    </row>
    <row r="5" spans="2:2" x14ac:dyDescent="0.3">
      <c r="B5" s="10" t="s">
        <v>386</v>
      </c>
    </row>
    <row r="6" spans="2:2" x14ac:dyDescent="0.3">
      <c r="B6" s="10" t="s">
        <v>387</v>
      </c>
    </row>
    <row r="7" spans="2:2" x14ac:dyDescent="0.3">
      <c r="B7" s="10"/>
    </row>
    <row r="8" spans="2:2" x14ac:dyDescent="0.3">
      <c r="B8" s="9" t="s">
        <v>388</v>
      </c>
    </row>
    <row r="9" spans="2:2" x14ac:dyDescent="0.3">
      <c r="B9" s="10" t="s">
        <v>389</v>
      </c>
    </row>
    <row r="10" spans="2:2" x14ac:dyDescent="0.3">
      <c r="B10" s="10" t="s">
        <v>390</v>
      </c>
    </row>
    <row r="11" spans="2:2" x14ac:dyDescent="0.3">
      <c r="B11" s="10" t="s">
        <v>391</v>
      </c>
    </row>
    <row r="12" spans="2:2" x14ac:dyDescent="0.3">
      <c r="B12" s="10" t="s">
        <v>392</v>
      </c>
    </row>
    <row r="13" spans="2:2" x14ac:dyDescent="0.3">
      <c r="B13" s="10"/>
    </row>
    <row r="14" spans="2:2" x14ac:dyDescent="0.3">
      <c r="B14" s="9" t="s">
        <v>393</v>
      </c>
    </row>
    <row r="15" spans="2:2" x14ac:dyDescent="0.3">
      <c r="B15" s="10" t="s">
        <v>394</v>
      </c>
    </row>
    <row r="16" spans="2:2" x14ac:dyDescent="0.3">
      <c r="B16" s="10" t="s">
        <v>395</v>
      </c>
    </row>
    <row r="17" spans="2:3" x14ac:dyDescent="0.3">
      <c r="B17" s="9" t="s">
        <v>396</v>
      </c>
    </row>
    <row r="18" spans="2:3" x14ac:dyDescent="0.3">
      <c r="B18" s="10" t="s">
        <v>397</v>
      </c>
      <c r="C18" s="9">
        <f>COUNTIF(Consolidado!A:A,"Bancos médios")</f>
        <v>22</v>
      </c>
    </row>
    <row r="19" spans="2:3" x14ac:dyDescent="0.3">
      <c r="B19" s="10" t="s">
        <v>398</v>
      </c>
      <c r="C19" s="9">
        <f>COUNTIF(Consolidado!A:A,"Corretoras (CTVM) médias")</f>
        <v>1</v>
      </c>
    </row>
    <row r="20" spans="2:3" x14ac:dyDescent="0.3">
      <c r="B20" s="10" t="s">
        <v>399</v>
      </c>
      <c r="C20" s="9">
        <f>COUNTIF(Consolidado!A:A,"DTVMs não-adm (médias)")</f>
        <v>1</v>
      </c>
    </row>
    <row r="21" spans="2:3" x14ac:dyDescent="0.3">
      <c r="B21" s="10" t="s">
        <v>400</v>
      </c>
      <c r="C21" s="9">
        <f>COUNTIF(Consolidado!A:A,"DTVMs administradoras")</f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Consolidado</vt:lpstr>
      <vt:lpstr>Bancos médios</vt:lpstr>
      <vt:lpstr>Corretoras (CTVM) médias</vt:lpstr>
      <vt:lpstr>DTVMs não-adm (médias)</vt:lpstr>
      <vt:lpstr>DTVMs administradoras</vt:lpstr>
      <vt:lpstr>Legenda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Vinicius Fernandes</cp:lastModifiedBy>
  <dcterms:created xsi:type="dcterms:W3CDTF">2026-07-13T13:24:46Z</dcterms:created>
  <dcterms:modified xsi:type="dcterms:W3CDTF">2026-07-13T13:25:15Z</dcterms:modified>
</cp:coreProperties>
</file>